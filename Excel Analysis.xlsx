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ert\OneDrive\Data Analysis\Training\"/>
    </mc:Choice>
  </mc:AlternateContent>
  <xr:revisionPtr revIDLastSave="0" documentId="13_ncr:1_{D6205B35-0EE9-460D-8AC8-3ED2C9A75813}" xr6:coauthVersionLast="47" xr6:coauthVersionMax="47" xr10:uidLastSave="{00000000-0000-0000-0000-000000000000}"/>
  <bookViews>
    <workbookView xWindow="-108" yWindow="-108" windowWidth="23256" windowHeight="12456" activeTab="2" xr2:uid="{2D2C5C79-6735-4A8F-A016-EBC9BB2B40B2}"/>
  </bookViews>
  <sheets>
    <sheet name="Data" sheetId="1" r:id="rId1"/>
    <sheet name="PivotTable" sheetId="3" r:id="rId2"/>
    <sheet name="PivotTable2" sheetId="6" r:id="rId3"/>
    <sheet name="XLOOKUP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J7" i="1"/>
  <c r="J17" i="1"/>
  <c r="J12" i="1"/>
  <c r="J33" i="1"/>
  <c r="J27" i="1"/>
  <c r="J10" i="1"/>
  <c r="G2" i="5" s="1"/>
  <c r="J11" i="1"/>
  <c r="J20" i="1"/>
  <c r="J21" i="1"/>
  <c r="J19" i="1"/>
  <c r="J28" i="1"/>
  <c r="J25" i="1"/>
  <c r="J22" i="1"/>
  <c r="J29" i="1"/>
  <c r="J6" i="1"/>
  <c r="J24" i="1"/>
  <c r="J30" i="1"/>
  <c r="J23" i="1"/>
  <c r="J32" i="1"/>
  <c r="J9" i="1"/>
  <c r="J14" i="1"/>
  <c r="J26" i="1"/>
  <c r="J15" i="1"/>
  <c r="J8" i="1"/>
  <c r="J31" i="1"/>
  <c r="J18" i="1"/>
  <c r="J13" i="1"/>
  <c r="J16" i="1"/>
  <c r="C2" i="5"/>
  <c r="B2" i="5"/>
  <c r="F2" i="5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6" i="1"/>
  <c r="L33" i="1"/>
  <c r="L3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E2" i="5" l="1"/>
  <c r="H2" i="5"/>
  <c r="D2" i="5"/>
</calcChain>
</file>

<file path=xl/sharedStrings.xml><?xml version="1.0" encoding="utf-8"?>
<sst xmlns="http://schemas.openxmlformats.org/spreadsheetml/2006/main" count="95" uniqueCount="39">
  <si>
    <t>SOYABEAN OIL (DEODORIZATION)</t>
  </si>
  <si>
    <t>Batch_ID</t>
  </si>
  <si>
    <t>Date</t>
  </si>
  <si>
    <t>Input_Oil (Kg)</t>
  </si>
  <si>
    <t xml:space="preserve">Initial_FFA </t>
  </si>
  <si>
    <t>Temperature (°C)</t>
  </si>
  <si>
    <t>Vacuum (mmHg)</t>
  </si>
  <si>
    <t>Batch_Time (Hrs)</t>
  </si>
  <si>
    <t>Operator</t>
  </si>
  <si>
    <t>Final_FFA</t>
  </si>
  <si>
    <t>FFA_Removal (%)</t>
  </si>
  <si>
    <t>Output_Oil (Kg)</t>
  </si>
  <si>
    <t>Yield (%)</t>
  </si>
  <si>
    <t>C</t>
  </si>
  <si>
    <t>A</t>
  </si>
  <si>
    <t>B</t>
  </si>
  <si>
    <t>D</t>
  </si>
  <si>
    <t>Grand Total</t>
  </si>
  <si>
    <t>Temp Range</t>
  </si>
  <si>
    <t>T1</t>
  </si>
  <si>
    <t>T2</t>
  </si>
  <si>
    <t>T3</t>
  </si>
  <si>
    <t>T4</t>
  </si>
  <si>
    <t>Initial FFA Range</t>
  </si>
  <si>
    <t>1.0 - 2.0</t>
  </si>
  <si>
    <t>2.0 - 3.0</t>
  </si>
  <si>
    <t>3.0 - 4.0</t>
  </si>
  <si>
    <t>Batch Time (Hrs.)</t>
  </si>
  <si>
    <t>Temp:</t>
  </si>
  <si>
    <t>Range:</t>
  </si>
  <si>
    <t>230 - 240</t>
  </si>
  <si>
    <t>240 - 250</t>
  </si>
  <si>
    <t>250 - 260</t>
  </si>
  <si>
    <t>260 - 270</t>
  </si>
  <si>
    <t>FFA Removal (%)</t>
  </si>
  <si>
    <t>Efficient FFA Removal</t>
  </si>
  <si>
    <t>Average Batch_Time (Hrs)</t>
  </si>
  <si>
    <t>Average FFA_Removal (%)</t>
  </si>
  <si>
    <t>Average Yield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</si>
</sst>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4" borderId="0" xfId="0" applyFont="1" applyFill="1" applyAlignment="1">
      <alignment horizontal="center" vertical="center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35" borderId="0" xfId="0" applyNumberFormat="1" applyFill="1"/>
    <xf numFmtId="0" fontId="16" fillId="0" borderId="0" xfId="0" applyFont="1" applyAlignment="1">
      <alignment horizontal="center" vertical="center"/>
    </xf>
    <xf numFmtId="164" fontId="0" fillId="0" borderId="0" xfId="0" applyNumberFormat="1"/>
    <xf numFmtId="0" fontId="16" fillId="0" borderId="0" xfId="0" applyFont="1"/>
    <xf numFmtId="14" fontId="0" fillId="0" borderId="0" xfId="0" applyNumberFormat="1"/>
    <xf numFmtId="0" fontId="16" fillId="0" borderId="0" xfId="0" pivotButton="1" applyFont="1"/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.0"/>
    </dxf>
    <dxf>
      <numFmt numFmtId="2" formatCode="0.00"/>
      <alignment horizontal="general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font>
        <color theme="1"/>
      </font>
    </dxf>
    <dxf>
      <font>
        <b val="0"/>
      </font>
    </dxf>
    <dxf>
      <font>
        <b val="0"/>
      </font>
    </dxf>
    <dxf>
      <font>
        <color theme="1"/>
      </font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4" formatCode="0.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9" formatCode="dd/mm/yyyy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Analysis.xlsx]PivotTable!PivotTable5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>
              <a:shade val="8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>
              <a:shade val="5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81-4929-AF66-2B5BDB6434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81-4929-AF66-2B5BDB64346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81-4929-AF66-2B5BDB64346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81-4929-AF66-2B5BDB643463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PivotTable!$A$2:$A$6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PivotTable!$B$2:$B$6</c:f>
              <c:numCache>
                <c:formatCode>0.00</c:formatCode>
                <c:ptCount val="4"/>
                <c:pt idx="0">
                  <c:v>82.372486487232209</c:v>
                </c:pt>
                <c:pt idx="1">
                  <c:v>81.669258917976066</c:v>
                </c:pt>
                <c:pt idx="2">
                  <c:v>80.991394108811832</c:v>
                </c:pt>
                <c:pt idx="3">
                  <c:v>79.839598555262725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5-4905-8F6F-04E0F5153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92571136"/>
        <c:axId val="292574016"/>
      </c:barChart>
      <c:catAx>
        <c:axId val="29257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74016"/>
        <c:crosses val="autoZero"/>
        <c:auto val="1"/>
        <c:lblAlgn val="ctr"/>
        <c:lblOffset val="100"/>
        <c:noMultiLvlLbl val="0"/>
      </c:catAx>
      <c:valAx>
        <c:axId val="292574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90300978732795"/>
          <c:y val="2.7107596926428765E-2"/>
          <c:w val="0.33194434223759411"/>
          <c:h val="8.3565459610027856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Analysis.xlsx]PivotTable!PivotTable1</c:name>
    <c:fmtId val="0"/>
  </c:pivotSource>
  <c:chart>
    <c:autoTitleDeleted val="1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PivotTable!$H$1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PivotTable!$G$2:$G$6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PivotTable!$H$2:$H$6</c:f>
              <c:numCache>
                <c:formatCode>0.0</c:formatCode>
                <c:ptCount val="4"/>
                <c:pt idx="0">
                  <c:v>6</c:v>
                </c:pt>
                <c:pt idx="1">
                  <c:v>5.3</c:v>
                </c:pt>
                <c:pt idx="2">
                  <c:v>4.5</c:v>
                </c:pt>
                <c:pt idx="3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0D-4D7B-9C4F-544E9F7A5C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1447856"/>
        <c:axId val="191447376"/>
      </c:lineChart>
      <c:catAx>
        <c:axId val="19144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spc="1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7376"/>
        <c:crosses val="autoZero"/>
        <c:auto val="1"/>
        <c:lblAlgn val="ctr"/>
        <c:lblOffset val="100"/>
        <c:noMultiLvlLbl val="0"/>
      </c:catAx>
      <c:valAx>
        <c:axId val="1914473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9144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gradFill>
      <a:gsLst>
        <a:gs pos="0">
          <a:schemeClr val="accent6">
            <a:lumMod val="20000"/>
            <a:lumOff val="80000"/>
          </a:schemeClr>
        </a:gs>
        <a:gs pos="25000">
          <a:schemeClr val="accent6">
            <a:lumMod val="40000"/>
            <a:lumOff val="60000"/>
          </a:schemeClr>
        </a:gs>
        <a:gs pos="63000">
          <a:schemeClr val="accent6">
            <a:lumMod val="60000"/>
            <a:lumOff val="40000"/>
          </a:schemeClr>
        </a:gs>
        <a:gs pos="100000">
          <a:schemeClr val="accent6">
            <a:lumMod val="75000"/>
          </a:schemeClr>
        </a:gs>
      </a:gsLst>
      <a:lin ang="5400000" scaled="1"/>
    </a:gra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Analysis.xlsx]PivotTable!PivotTable2</c:name>
    <c:fmtId val="0"/>
  </c:pivotSource>
  <c:chart>
    <c:autoTitleDeleted val="1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1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PivotTable!$N$1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14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PivotTable!$M$2:$M$5</c:f>
              <c:strCache>
                <c:ptCount val="3"/>
                <c:pt idx="0">
                  <c:v>1.0 - 2.0</c:v>
                </c:pt>
                <c:pt idx="1">
                  <c:v>2.0 - 3.0</c:v>
                </c:pt>
                <c:pt idx="2">
                  <c:v>3.0 - 4.0</c:v>
                </c:pt>
              </c:strCache>
            </c:strRef>
          </c:cat>
          <c:val>
            <c:numRef>
              <c:f>PivotTable!$N$2:$N$5</c:f>
              <c:numCache>
                <c:formatCode>0.0</c:formatCode>
                <c:ptCount val="3"/>
                <c:pt idx="0">
                  <c:v>4.1785714285714288</c:v>
                </c:pt>
                <c:pt idx="1">
                  <c:v>5.85</c:v>
                </c:pt>
                <c:pt idx="2">
                  <c:v>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F-4C50-B17A-6CA5E8C35C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92574496"/>
        <c:axId val="292583136"/>
      </c:lineChart>
      <c:catAx>
        <c:axId val="2925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spc="3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83136"/>
        <c:crosses val="autoZero"/>
        <c:auto val="1"/>
        <c:lblAlgn val="ctr"/>
        <c:lblOffset val="100"/>
        <c:noMultiLvlLbl val="0"/>
      </c:catAx>
      <c:valAx>
        <c:axId val="29258313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29257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6">
            <a:lumMod val="20000"/>
            <a:lumOff val="80000"/>
          </a:schemeClr>
        </a:gs>
        <a:gs pos="24000">
          <a:schemeClr val="accent6">
            <a:lumMod val="40000"/>
            <a:lumOff val="60000"/>
          </a:schemeClr>
        </a:gs>
        <a:gs pos="55000">
          <a:schemeClr val="accent6">
            <a:lumMod val="60000"/>
            <a:lumOff val="40000"/>
          </a:schemeClr>
        </a:gs>
        <a:gs pos="88000">
          <a:schemeClr val="accent6">
            <a:lumMod val="75000"/>
          </a:schemeClr>
        </a:gs>
      </a:gsLst>
      <a:lin ang="5400000" scaled="1"/>
    </a:gra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Analysis.xlsx]PivotTable2!PivotTable3</c:name>
    <c:fmtId val="0"/>
  </c:pivotSource>
  <c:chart>
    <c:autoTitleDeleted val="1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PivotTable2!$B$1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PivotTable2!$A$2:$A$6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PivotTable2!$B$2:$B$6</c:f>
              <c:numCache>
                <c:formatCode>0.00</c:formatCode>
                <c:ptCount val="4"/>
                <c:pt idx="0">
                  <c:v>97.087500000000006</c:v>
                </c:pt>
                <c:pt idx="1">
                  <c:v>96.52000000000001</c:v>
                </c:pt>
                <c:pt idx="2">
                  <c:v>96.074999999999989</c:v>
                </c:pt>
                <c:pt idx="3">
                  <c:v>95.583333333333329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B-48FE-9F70-B253DD6B5F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10091168"/>
        <c:axId val="410082528"/>
      </c:lineChart>
      <c:catAx>
        <c:axId val="4100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82528"/>
        <c:crosses val="autoZero"/>
        <c:auto val="1"/>
        <c:lblAlgn val="ctr"/>
        <c:lblOffset val="100"/>
        <c:noMultiLvlLbl val="0"/>
      </c:catAx>
      <c:valAx>
        <c:axId val="41008252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100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67000"/>
          </a:schemeClr>
        </a:gs>
        <a:gs pos="48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9525" cap="flat" cmpd="sng" algn="ctr">
      <a:gradFill flip="none" rotWithShape="1">
        <a:gsLst>
          <a:gs pos="0">
            <a:schemeClr val="accent6">
              <a:lumMod val="40000"/>
              <a:lumOff val="60000"/>
              <a:alpha val="50000"/>
            </a:schemeClr>
          </a:gs>
          <a:gs pos="33000">
            <a:schemeClr val="accent6">
              <a:lumMod val="95000"/>
              <a:lumOff val="5000"/>
            </a:schemeClr>
          </a:gs>
          <a:gs pos="56000">
            <a:srgbClr val="5D8F3C"/>
          </a:gs>
          <a:gs pos="76000">
            <a:schemeClr val="accent6">
              <a:lumMod val="60000"/>
            </a:schemeClr>
          </a:gs>
        </a:gsLst>
        <a:path path="circle">
          <a:fillToRect l="50000" t="130000" r="50000" b="-30000"/>
        </a:path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[Excel Analysis.xlsx]PivotTable2!PivotTable4</c:name>
    <c:fmtId val="0"/>
  </c:pivotSource>
  <c:chart>
    <c:autoTitleDeleted val="1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PivotTable2!$H$1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PivotTable2!$G$2:$G$5</c:f>
              <c:strCache>
                <c:ptCount val="3"/>
                <c:pt idx="0">
                  <c:v>1.0 - 2.0</c:v>
                </c:pt>
                <c:pt idx="1">
                  <c:v>2.0 - 3.0</c:v>
                </c:pt>
                <c:pt idx="2">
                  <c:v>3.0 - 4.0</c:v>
                </c:pt>
              </c:strCache>
            </c:strRef>
          </c:cat>
          <c:val>
            <c:numRef>
              <c:f>PivotTable2!$H$2:$H$5</c:f>
              <c:numCache>
                <c:formatCode>0.00</c:formatCode>
                <c:ptCount val="3"/>
                <c:pt idx="0">
                  <c:v>96.528571428571425</c:v>
                </c:pt>
                <c:pt idx="1">
                  <c:v>96.490000000000009</c:v>
                </c:pt>
                <c:pt idx="2">
                  <c:v>95.85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0-4301-AE16-B0CB64F4E8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10088288"/>
        <c:axId val="410094528"/>
      </c:lineChart>
      <c:catAx>
        <c:axId val="4100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94528"/>
        <c:crosses val="autoZero"/>
        <c:auto val="1"/>
        <c:lblAlgn val="ctr"/>
        <c:lblOffset val="100"/>
        <c:noMultiLvlLbl val="0"/>
      </c:catAx>
      <c:valAx>
        <c:axId val="41009452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100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67000"/>
          </a:schemeClr>
        </a:gs>
        <a:gs pos="35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175260</xdr:rowOff>
    </xdr:from>
    <xdr:to>
      <xdr:col>3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56D7E-6F9A-3506-5475-1D3B1A339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7</xdr:row>
      <xdr:rowOff>152400</xdr:rowOff>
    </xdr:from>
    <xdr:to>
      <xdr:col>9</xdr:col>
      <xdr:colOff>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A5A47-470C-18EA-402F-264D87AA8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</xdr:colOff>
      <xdr:row>7</xdr:row>
      <xdr:rowOff>175260</xdr:rowOff>
    </xdr:from>
    <xdr:to>
      <xdr:col>15</xdr:col>
      <xdr:colOff>15240</xdr:colOff>
      <xdr:row>23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E70ABA-F9C9-7C9B-DB33-2DCB0FF6C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160020</xdr:rowOff>
    </xdr:from>
    <xdr:to>
      <xdr:col>4</xdr:col>
      <xdr:colOff>7620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66549-4B9D-53A6-137C-B7C27E685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7620</xdr:rowOff>
    </xdr:from>
    <xdr:to>
      <xdr:col>10</xdr:col>
      <xdr:colOff>15240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365662-E0A9-06C6-E80E-8505FF8E7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ika Agrawal" refreshedDate="45993.91792511574" createdVersion="8" refreshedVersion="8" minRefreshableVersion="3" recordCount="28" xr:uid="{14234D50-C7DC-4B39-B3D1-7C469126A327}">
  <cacheSource type="worksheet">
    <worksheetSource name="Table1"/>
  </cacheSource>
  <cacheFields count="15">
    <cacheField name="Batch_ID" numFmtId="1">
      <sharedItems containsSemiMixedTypes="0" containsString="0" containsNumber="1" containsInteger="1" minValue="1" maxValue="28"/>
    </cacheField>
    <cacheField name="Date" numFmtId="14">
      <sharedItems containsSemiMixedTypes="0" containsNonDate="0" containsDate="1" containsString="0" minDate="2025-06-15T00:00:00" maxDate="2025-07-13T00:00:00"/>
    </cacheField>
    <cacheField name="Input_Oil (Kg)" numFmtId="1">
      <sharedItems containsSemiMixedTypes="0" containsString="0" containsNumber="1" containsInteger="1" minValue="1000" maxValue="1000"/>
    </cacheField>
    <cacheField name="Initial_FFA " numFmtId="2">
      <sharedItems containsSemiMixedTypes="0" containsString="0" containsNumber="1" minValue="1.05" maxValue="3.42"/>
    </cacheField>
    <cacheField name="Temperature (°C)" numFmtId="1">
      <sharedItems containsSemiMixedTypes="0" containsString="0" containsNumber="1" containsInteger="1" minValue="232" maxValue="269"/>
    </cacheField>
    <cacheField name="Vacuum (mmHg)" numFmtId="1">
      <sharedItems containsSemiMixedTypes="0" containsString="0" containsNumber="1" containsInteger="1" minValue="760" maxValue="760"/>
    </cacheField>
    <cacheField name="Batch_Time (Hrs)" numFmtId="164">
      <sharedItems containsSemiMixedTypes="0" containsString="0" containsNumber="1" minValue="3" maxValue="7"/>
    </cacheField>
    <cacheField name="Operator" numFmtId="0">
      <sharedItems count="4">
        <s v="A"/>
        <s v="B"/>
        <s v="C"/>
        <s v="D"/>
      </sharedItems>
    </cacheField>
    <cacheField name="Final_FFA" numFmtId="2">
      <sharedItems containsSemiMixedTypes="0" containsString="0" containsNumber="1" minValue="0.19" maxValue="0.62"/>
    </cacheField>
    <cacheField name="FFA_Removal (%)" numFmtId="2">
      <sharedItems containsSemiMixedTypes="0" containsString="0" containsNumber="1" minValue="73.36448598130842" maxValue="86.68639053254438"/>
    </cacheField>
    <cacheField name="Output_Oil (Kg)" numFmtId="1">
      <sharedItems containsSemiMixedTypes="0" containsString="0" containsNumber="1" containsInteger="1" minValue="954" maxValue="978"/>
    </cacheField>
    <cacheField name="Yield (%)" numFmtId="2">
      <sharedItems containsSemiMixedTypes="0" containsString="0" containsNumber="1" minValue="95.399999999999991" maxValue="97.8"/>
    </cacheField>
    <cacheField name="Temp Range" numFmtId="0">
      <sharedItems count="4">
        <s v="T1"/>
        <s v="T4"/>
        <s v="T2"/>
        <s v="T3"/>
      </sharedItems>
    </cacheField>
    <cacheField name="Initial FFA Range" numFmtId="2">
      <sharedItems count="4">
        <s v="1.0 - 2.0"/>
        <s v="3.0 - 4.0"/>
        <s v="2.0 - 3.0"/>
        <s v="&gt;3.0" u="1"/>
      </sharedItems>
    </cacheField>
    <cacheField name="Efficient FFA Removal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d v="2025-06-15T00:00:00"/>
    <n v="1000"/>
    <n v="1.94"/>
    <n v="232"/>
    <n v="760"/>
    <n v="5.5"/>
    <x v="0"/>
    <n v="0.45"/>
    <n v="76.80412371134021"/>
    <n v="978"/>
    <n v="97.8"/>
    <x v="0"/>
    <x v="0"/>
    <s v="Efficient Removal"/>
  </r>
  <r>
    <n v="2"/>
    <d v="2025-06-16T00:00:00"/>
    <n v="1000"/>
    <n v="3.38"/>
    <n v="266"/>
    <n v="760"/>
    <n v="5"/>
    <x v="0"/>
    <n v="0.45"/>
    <n v="86.68639053254438"/>
    <n v="954"/>
    <n v="95.399999999999991"/>
    <x v="1"/>
    <x v="1"/>
    <s v="Efficient Removal"/>
  </r>
  <r>
    <n v="3"/>
    <d v="2025-06-17T00:00:00"/>
    <n v="1000"/>
    <n v="2.83"/>
    <n v="236"/>
    <n v="760"/>
    <n v="7"/>
    <x v="0"/>
    <n v="0.5"/>
    <n v="82.332155477031804"/>
    <n v="973"/>
    <n v="97.3"/>
    <x v="0"/>
    <x v="2"/>
    <s v="Efficient Removal"/>
  </r>
  <r>
    <n v="4"/>
    <d v="2025-06-18T00:00:00"/>
    <n v="1000"/>
    <n v="2.5"/>
    <n v="250"/>
    <n v="760"/>
    <n v="5"/>
    <x v="0"/>
    <n v="0.49"/>
    <n v="80.399999999999991"/>
    <n v="965"/>
    <n v="96.5"/>
    <x v="2"/>
    <x v="2"/>
    <s v="Efficient Removal"/>
  </r>
  <r>
    <n v="5"/>
    <d v="2025-06-19T00:00:00"/>
    <n v="1000"/>
    <n v="1.39"/>
    <n v="250"/>
    <n v="760"/>
    <n v="4"/>
    <x v="0"/>
    <n v="0.27"/>
    <n v="80.57553956834532"/>
    <n v="965"/>
    <n v="96.5"/>
    <x v="2"/>
    <x v="0"/>
    <s v="Efficient Removal"/>
  </r>
  <r>
    <n v="6"/>
    <d v="2025-06-20T00:00:00"/>
    <n v="1000"/>
    <n v="1.39"/>
    <n v="268"/>
    <n v="760"/>
    <n v="3"/>
    <x v="0"/>
    <n v="0.19"/>
    <n v="86.330935251798564"/>
    <n v="955"/>
    <n v="95.5"/>
    <x v="1"/>
    <x v="0"/>
    <s v="Efficient Removal"/>
  </r>
  <r>
    <n v="7"/>
    <d v="2025-06-21T00:00:00"/>
    <n v="1000"/>
    <n v="1.1499999999999999"/>
    <n v="266"/>
    <n v="760"/>
    <n v="3"/>
    <x v="0"/>
    <n v="0.19"/>
    <n v="83.478260869565219"/>
    <n v="956"/>
    <n v="95.6"/>
    <x v="1"/>
    <x v="0"/>
    <s v="Efficient Removal"/>
  </r>
  <r>
    <n v="8"/>
    <d v="2025-06-22T00:00:00"/>
    <n v="1000"/>
    <n v="3.17"/>
    <n v="233"/>
    <n v="760"/>
    <n v="7"/>
    <x v="1"/>
    <n v="0.6"/>
    <n v="81.072555205047308"/>
    <n v="959"/>
    <n v="95.899999999999991"/>
    <x v="0"/>
    <x v="1"/>
    <s v="Pass the batch to 2nd Deo"/>
  </r>
  <r>
    <n v="9"/>
    <d v="2025-06-23T00:00:00"/>
    <n v="1000"/>
    <n v="2.5"/>
    <n v="254"/>
    <n v="760"/>
    <n v="5"/>
    <x v="1"/>
    <n v="0.49"/>
    <n v="80.399999999999991"/>
    <n v="961"/>
    <n v="96.1"/>
    <x v="3"/>
    <x v="2"/>
    <s v="Efficient Removal"/>
  </r>
  <r>
    <n v="10"/>
    <d v="2025-06-24T00:00:00"/>
    <n v="1000"/>
    <n v="2.77"/>
    <n v="243"/>
    <n v="760"/>
    <n v="7"/>
    <x v="1"/>
    <n v="0.48"/>
    <n v="82.671480144404327"/>
    <n v="968"/>
    <n v="96.8"/>
    <x v="2"/>
    <x v="2"/>
    <s v="Efficient Removal"/>
  </r>
  <r>
    <n v="11"/>
    <d v="2025-06-25T00:00:00"/>
    <n v="1000"/>
    <n v="1.05"/>
    <n v="262"/>
    <n v="760"/>
    <n v="3"/>
    <x v="1"/>
    <n v="0.2"/>
    <n v="80.952380952380949"/>
    <n v="960"/>
    <n v="96"/>
    <x v="1"/>
    <x v="0"/>
    <s v="Efficient Removal"/>
  </r>
  <r>
    <n v="12"/>
    <d v="2025-06-26T00:00:00"/>
    <n v="1000"/>
    <n v="3.42"/>
    <n v="235"/>
    <n v="760"/>
    <n v="7"/>
    <x v="1"/>
    <n v="0.49"/>
    <n v="85.672514619883032"/>
    <n v="958"/>
    <n v="95.8"/>
    <x v="0"/>
    <x v="1"/>
    <s v="Efficient Removal"/>
  </r>
  <r>
    <n v="13"/>
    <d v="2025-06-27T00:00:00"/>
    <n v="1000"/>
    <n v="3.08"/>
    <n v="248"/>
    <n v="760"/>
    <n v="5.5"/>
    <x v="1"/>
    <n v="0.62"/>
    <n v="79.870129870129873"/>
    <n v="963"/>
    <n v="96.3"/>
    <x v="2"/>
    <x v="1"/>
    <s v="Pass the batch to 2nd Deo"/>
  </r>
  <r>
    <n v="14"/>
    <d v="2025-06-28T00:00:00"/>
    <n v="1000"/>
    <n v="1.53"/>
    <n v="249"/>
    <n v="760"/>
    <n v="4.5"/>
    <x v="1"/>
    <n v="0.28999999999999998"/>
    <n v="81.045751633986924"/>
    <n v="968"/>
    <n v="96.8"/>
    <x v="2"/>
    <x v="0"/>
    <s v="Efficient Removal"/>
  </r>
  <r>
    <n v="15"/>
    <d v="2025-06-29T00:00:00"/>
    <n v="1000"/>
    <n v="1.45"/>
    <n v="257"/>
    <n v="760"/>
    <n v="4"/>
    <x v="2"/>
    <n v="0.25"/>
    <n v="82.758620689655174"/>
    <n v="961"/>
    <n v="96.1"/>
    <x v="3"/>
    <x v="0"/>
    <s v="Efficient Removal"/>
  </r>
  <r>
    <n v="16"/>
    <d v="2025-06-30T00:00:00"/>
    <n v="1000"/>
    <n v="1.46"/>
    <n v="236"/>
    <n v="760"/>
    <n v="5"/>
    <x v="2"/>
    <n v="0.32"/>
    <n v="78.082191780821901"/>
    <n v="975"/>
    <n v="97.5"/>
    <x v="0"/>
    <x v="0"/>
    <s v="Efficient Removal"/>
  </r>
  <r>
    <n v="17"/>
    <d v="2025-07-01T00:00:00"/>
    <n v="1000"/>
    <n v="1.76"/>
    <n v="237"/>
    <n v="760"/>
    <n v="5"/>
    <x v="2"/>
    <n v="0.26"/>
    <n v="85.227272727272734"/>
    <n v="974"/>
    <n v="97.399999999999991"/>
    <x v="0"/>
    <x v="0"/>
    <s v="Efficient Removal"/>
  </r>
  <r>
    <n v="18"/>
    <d v="2025-07-02T00:00:00"/>
    <n v="1000"/>
    <n v="2.31"/>
    <n v="264"/>
    <n v="760"/>
    <n v="5"/>
    <x v="2"/>
    <n v="0.39"/>
    <n v="83.116883116883116"/>
    <n v="955"/>
    <n v="95.5"/>
    <x v="1"/>
    <x v="2"/>
    <s v="Efficient Removal"/>
  </r>
  <r>
    <n v="19"/>
    <d v="2025-07-03T00:00:00"/>
    <n v="1000"/>
    <n v="2.08"/>
    <n v="243"/>
    <n v="760"/>
    <n v="6"/>
    <x v="2"/>
    <n v="0.54"/>
    <n v="74.038461538461547"/>
    <n v="965"/>
    <n v="96.5"/>
    <x v="2"/>
    <x v="2"/>
    <s v="Pass the batch to 2nd Deo"/>
  </r>
  <r>
    <n v="20"/>
    <d v="2025-07-04T00:00:00"/>
    <n v="1000"/>
    <n v="1.73"/>
    <n v="246"/>
    <n v="760"/>
    <n v="4.5"/>
    <x v="2"/>
    <n v="0.32"/>
    <n v="81.502890173410407"/>
    <n v="966"/>
    <n v="96.6"/>
    <x v="2"/>
    <x v="0"/>
    <s v="Efficient Removal"/>
  </r>
  <r>
    <n v="21"/>
    <d v="2025-07-05T00:00:00"/>
    <n v="1000"/>
    <n v="2.5299999999999998"/>
    <n v="260"/>
    <n v="760"/>
    <n v="5"/>
    <x v="2"/>
    <n v="0.45"/>
    <n v="82.21343873517786"/>
    <n v="960"/>
    <n v="96"/>
    <x v="3"/>
    <x v="2"/>
    <s v="Efficient Removal"/>
  </r>
  <r>
    <n v="22"/>
    <d v="2025-07-06T00:00:00"/>
    <n v="1000"/>
    <n v="1.35"/>
    <n v="269"/>
    <n v="760"/>
    <n v="3.5"/>
    <x v="3"/>
    <n v="0.2"/>
    <n v="85.18518518518519"/>
    <n v="955"/>
    <n v="95.5"/>
    <x v="1"/>
    <x v="0"/>
    <s v="Efficient Removal"/>
  </r>
  <r>
    <n v="23"/>
    <d v="2025-07-07T00:00:00"/>
    <n v="1000"/>
    <n v="1.73"/>
    <n v="233"/>
    <n v="760"/>
    <n v="5"/>
    <x v="3"/>
    <n v="0.39"/>
    <n v="77.456647398843927"/>
    <n v="978"/>
    <n v="97.8"/>
    <x v="0"/>
    <x v="0"/>
    <s v="Efficient Removal"/>
  </r>
  <r>
    <n v="24"/>
    <d v="2025-07-08T00:00:00"/>
    <n v="1000"/>
    <n v="1.92"/>
    <n v="248"/>
    <n v="760"/>
    <n v="4.5"/>
    <x v="3"/>
    <n v="0.42"/>
    <n v="78.125"/>
    <n v="962"/>
    <n v="96.2"/>
    <x v="2"/>
    <x v="0"/>
    <s v="Efficient Removal"/>
  </r>
  <r>
    <n v="25"/>
    <d v="2025-07-09T00:00:00"/>
    <n v="1000"/>
    <n v="2.14"/>
    <n v="235"/>
    <n v="760"/>
    <n v="6.5"/>
    <x v="3"/>
    <n v="0.56999999999999995"/>
    <n v="73.36448598130842"/>
    <n v="972"/>
    <n v="97.2"/>
    <x v="0"/>
    <x v="2"/>
    <s v="Pass the batch to 2nd Deo"/>
  </r>
  <r>
    <n v="26"/>
    <d v="2025-07-10T00:00:00"/>
    <n v="1000"/>
    <n v="2.96"/>
    <n v="242"/>
    <n v="760"/>
    <n v="7"/>
    <x v="3"/>
    <n v="0.47"/>
    <n v="84.121621621621628"/>
    <n v="968"/>
    <n v="96.8"/>
    <x v="2"/>
    <x v="2"/>
    <s v="Efficient Removal"/>
  </r>
  <r>
    <n v="27"/>
    <d v="2025-07-11T00:00:00"/>
    <n v="1000"/>
    <n v="2.4500000000000002"/>
    <n v="250"/>
    <n v="760"/>
    <n v="5"/>
    <x v="3"/>
    <n v="0.45"/>
    <n v="81.632653061224474"/>
    <n v="962"/>
    <n v="96.2"/>
    <x v="2"/>
    <x v="2"/>
    <s v="Efficient Removal"/>
  </r>
  <r>
    <n v="28"/>
    <d v="2025-07-12T00:00:00"/>
    <n v="1000"/>
    <n v="1.19"/>
    <n v="255"/>
    <n v="760"/>
    <n v="4"/>
    <x v="3"/>
    <n v="0.25"/>
    <n v="78.991596638655466"/>
    <n v="961"/>
    <n v="96.1"/>
    <x v="3"/>
    <x v="0"/>
    <s v="Efficient Remov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06FBD-75A5-4B96-9F3B-1397FB6F24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Initial FFA Range">
  <location ref="M1:N5" firstHeaderRow="1" firstDataRow="1" firstDataCol="1"/>
  <pivotFields count="15">
    <pivotField numFmtId="1" showAll="0"/>
    <pivotField numFmtId="14" showAll="0"/>
    <pivotField numFmtId="1" showAll="0"/>
    <pivotField numFmtId="2" showAll="0"/>
    <pivotField numFmtId="1" showAll="0"/>
    <pivotField numFmtId="1" showAll="0"/>
    <pivotField dataField="1" numFmtId="164" showAll="0"/>
    <pivotField showAll="0"/>
    <pivotField numFmtId="2" showAll="0"/>
    <pivotField numFmtId="2" showAll="0"/>
    <pivotField numFmtId="1" showAll="0"/>
    <pivotField numFmtId="2" showAll="0"/>
    <pivotField showAll="0"/>
    <pivotField axis="axisRow" showAll="0" sortType="ascending">
      <items count="5">
        <item m="1" x="3"/>
        <item x="0"/>
        <item x="2"/>
        <item x="1"/>
        <item t="default"/>
      </items>
    </pivotField>
    <pivotField showAll="0"/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Batch_Time (Hrs)" fld="6" subtotal="average" baseField="13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FBE5D-54B9-449B-9B02-F3A7F1E8E9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Temp Range">
  <location ref="G1:H6" firstHeaderRow="1" firstDataRow="1" firstDataCol="1"/>
  <pivotFields count="15">
    <pivotField numFmtId="1" showAll="0"/>
    <pivotField numFmtId="14" showAll="0"/>
    <pivotField numFmtId="1" showAll="0"/>
    <pivotField numFmtId="2" showAll="0"/>
    <pivotField numFmtId="1" showAll="0"/>
    <pivotField numFmtId="1" showAll="0"/>
    <pivotField dataField="1" numFmtId="1" showAll="0"/>
    <pivotField showAll="0"/>
    <pivotField numFmtId="2" showAll="0"/>
    <pivotField numFmtId="2" showAll="0"/>
    <pivotField numFmtId="1" showAll="0"/>
    <pivotField numFmtId="2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Batch_Time (Hrs)" fld="6" subtotal="average" baseField="12" baseItem="0" numFmtId="1"/>
  </dataFields>
  <formats count="5">
    <format dxfId="9">
      <pivotArea collapsedLevelsAreSubtotals="1" fieldPosition="0">
        <references count="1">
          <reference field="12" count="1">
            <x v="0"/>
          </reference>
        </references>
      </pivotArea>
    </format>
    <format dxfId="8">
      <pivotArea collapsedLevelsAreSubtotals="1" fieldPosition="0">
        <references count="1">
          <reference field="12" count="1">
            <x v="1"/>
          </reference>
        </references>
      </pivotArea>
    </format>
    <format dxfId="7">
      <pivotArea collapsedLevelsAreSubtotals="1" fieldPosition="0">
        <references count="1">
          <reference field="12" count="1">
            <x v="2"/>
          </reference>
        </references>
      </pivotArea>
    </format>
    <format dxfId="6">
      <pivotArea dataOnly="0" labelOnly="1" fieldPosition="0">
        <references count="1">
          <reference field="12" count="1">
            <x v="1"/>
          </reference>
        </references>
      </pivotArea>
    </format>
    <format dxfId="5">
      <pivotArea collapsedLevelsAreSubtotals="1" fieldPosition="0">
        <references count="1">
          <reference field="12" count="1">
            <x v="3"/>
          </reference>
        </references>
      </pivotArea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E5FE1-4B56-4EAE-B354-A0C80EA1A7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Operator">
  <location ref="A1:B6" firstHeaderRow="1" firstDataRow="1" firstDataCol="1"/>
  <pivotFields count="15">
    <pivotField numFmtId="1" showAll="0"/>
    <pivotField numFmtId="14" showAll="0"/>
    <pivotField numFmtId="1" showAll="0"/>
    <pivotField numFmtId="2" showAll="0"/>
    <pivotField numFmtId="1" showAll="0"/>
    <pivotField numFmtId="1" showAll="0"/>
    <pivotField numFmtId="1" showAll="0"/>
    <pivotField axis="axisRow" showAll="0">
      <items count="5">
        <item x="0"/>
        <item x="1"/>
        <item x="2"/>
        <item x="3"/>
        <item t="default"/>
      </items>
    </pivotField>
    <pivotField numFmtId="2" showAll="0"/>
    <pivotField dataField="1" numFmtId="2" showAll="0"/>
    <pivotField numFmtId="1" showAll="0"/>
    <pivotField numFmtId="2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FFA_Removal (%)" fld="9" subtotal="average" baseField="7" baseItem="0" numFmtId="2"/>
  </dataFields>
  <formats count="4">
    <format dxfId="13">
      <pivotArea collapsedLevelsAreSubtotals="1" fieldPosition="0">
        <references count="1">
          <reference field="7" count="1">
            <x v="0"/>
          </reference>
        </references>
      </pivotArea>
    </format>
    <format dxfId="12">
      <pivotArea collapsedLevelsAreSubtotals="1" fieldPosition="0">
        <references count="1">
          <reference field="7" count="1">
            <x v="0"/>
          </reference>
        </references>
      </pivotArea>
    </format>
    <format dxfId="11">
      <pivotArea dataOnly="0" labelOnly="1" fieldPosition="0">
        <references count="1">
          <reference field="7" count="1">
            <x v="0"/>
          </reference>
        </references>
      </pivotArea>
    </format>
    <format dxfId="10">
      <pivotArea dataOnly="0" labelOnly="1" fieldPosition="0">
        <references count="1">
          <reference field="7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40710-AE6D-4CD4-9FF1-1F77B1BB1C9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Initial FFA Range">
  <location ref="G1:H5" firstHeaderRow="1" firstDataRow="1" firstDataCol="1"/>
  <pivotFields count="15">
    <pivotField numFmtId="1" showAll="0"/>
    <pivotField numFmtId="14" showAll="0"/>
    <pivotField numFmtId="1" showAll="0"/>
    <pivotField numFmtId="2" showAll="0"/>
    <pivotField numFmtId="1" showAll="0"/>
    <pivotField numFmtId="1" showAll="0"/>
    <pivotField numFmtId="164" showAll="0"/>
    <pivotField showAll="0"/>
    <pivotField numFmtId="2" showAll="0"/>
    <pivotField numFmtId="2" showAll="0"/>
    <pivotField numFmtId="1" showAll="0"/>
    <pivotField dataField="1" numFmtId="2" showAll="0"/>
    <pivotField showAll="0"/>
    <pivotField axis="axisRow" showAll="0">
      <items count="5">
        <item m="1" x="3"/>
        <item x="0"/>
        <item x="2"/>
        <item x="1"/>
        <item t="default"/>
      </items>
    </pivotField>
    <pivotField showAll="0"/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Yield (%)" fld="11" subtotal="average" baseField="13" baseItem="1" numFmtId="2"/>
  </dataFields>
  <formats count="2">
    <format dxfId="2">
      <pivotArea field="13" type="button" dataOnly="0" labelOnly="1" outline="0" axis="axisRow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B51CF-91E1-4292-BE0E-7F714D6B78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emp Range">
  <location ref="A1:B6" firstHeaderRow="1" firstDataRow="1" firstDataCol="1"/>
  <pivotFields count="15">
    <pivotField numFmtId="1" showAll="0"/>
    <pivotField numFmtId="14" showAll="0"/>
    <pivotField numFmtId="1" showAll="0"/>
    <pivotField numFmtId="2" showAll="0"/>
    <pivotField numFmtId="1" showAll="0"/>
    <pivotField numFmtId="1" showAll="0"/>
    <pivotField numFmtId="164" showAll="0"/>
    <pivotField showAll="0"/>
    <pivotField numFmtId="2" showAll="0"/>
    <pivotField numFmtId="2" showAll="0"/>
    <pivotField numFmtId="1" showAll="0"/>
    <pivotField dataField="1" numFmtId="2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Yield (%)" fld="11" subtotal="average" baseField="12" baseItem="0" numFmtId="2"/>
  </dataFields>
  <formats count="2">
    <format dxfId="4">
      <pivotArea field="12" type="button" dataOnly="0" labelOnly="1" outline="0" axis="axisRow" fieldPosition="0"/>
    </format>
    <format dxfId="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95BCA-0BEE-452F-AFEB-D5A4334D67C7}" name="Table1" displayName="Table1" ref="A5:O33" totalsRowShown="0" headerRowDxfId="29" dataDxfId="28">
  <sortState xmlns:xlrd2="http://schemas.microsoft.com/office/spreadsheetml/2017/richdata2" ref="A6:O33">
    <sortCondition ref="A5:A33"/>
  </sortState>
  <tableColumns count="15">
    <tableColumn id="1" xr3:uid="{1BF37009-5360-49A9-9AED-12851C8B92AA}" name="Batch_ID" dataDxfId="27"/>
    <tableColumn id="2" xr3:uid="{713E1876-0503-4535-A84D-CFF72BFACB0D}" name="Date" dataDxfId="26"/>
    <tableColumn id="3" xr3:uid="{3AC5044C-CC3A-45D8-A133-58093707E29F}" name="Input_Oil (Kg)" dataDxfId="25"/>
    <tableColumn id="4" xr3:uid="{5F111299-34E7-481E-BE9C-1BD76E932D2B}" name="Initial_FFA " dataDxfId="24"/>
    <tableColumn id="5" xr3:uid="{4A02AD0B-5555-45B6-AC66-4571D22060C9}" name="Temperature (°C)" dataDxfId="23"/>
    <tableColumn id="6" xr3:uid="{A8C298E9-DED0-4B7D-878E-181C9BD18472}" name="Vacuum (mmHg)" dataDxfId="22"/>
    <tableColumn id="7" xr3:uid="{11E1F97F-D469-453D-A57E-41D0246E5C40}" name="Batch_Time (Hrs)" dataDxfId="21"/>
    <tableColumn id="8" xr3:uid="{94C3F415-BA02-4641-AA9D-D471164DCDBD}" name="Operator" dataDxfId="20"/>
    <tableColumn id="9" xr3:uid="{806B5D82-F0FB-4605-BEBB-1EF7BE7D8089}" name="Final_FFA" dataDxfId="19"/>
    <tableColumn id="10" xr3:uid="{B694DA28-3CA2-47C3-93F5-5FE4029B0EF8}" name="FFA_Removal (%)" dataDxfId="18">
      <calculatedColumnFormula>((D6-I6)/D6)*100</calculatedColumnFormula>
    </tableColumn>
    <tableColumn id="11" xr3:uid="{2AE1DEC0-02E7-416F-AB9F-4D2BCF07698F}" name="Output_Oil (Kg)" dataDxfId="17"/>
    <tableColumn id="12" xr3:uid="{3B4FF732-3201-41C8-9F92-8A6E7D61924C}" name="Yield (%)" dataDxfId="16">
      <calculatedColumnFormula>(K6/C6)*100</calculatedColumnFormula>
    </tableColumn>
    <tableColumn id="13" xr3:uid="{95B2E41E-0CE1-4F79-B4AA-E8590A46CC3A}" name="Temp Range" dataDxfId="0">
      <calculatedColumnFormula>IF(E6&lt;=230, "Increase Temp", IF(AND(E6&gt;230, E6&lt;=240), "T1", IF(AND(E6&gt;240, E6&lt;=250), "T2", IF(AND(E6&gt;250, E6&lt;=260), "T3", IF(AND(E6&gt;260, E6&lt;=270), "T4", "T5")))))</calculatedColumnFormula>
    </tableColumn>
    <tableColumn id="14" xr3:uid="{490FCD66-90FF-40F1-85E8-BEA8EB311C70}" name="Initial FFA Range" dataDxfId="15">
      <calculatedColumnFormula>IF(AND(D6&gt;=0, D6&lt;=1), "0.0 - 1.0", IF(AND(D6&gt;1, D6&lt;=2), "1.0 - 2.0", IF(AND(D6&gt;2, D6&lt;=3), "2.0 - 3.0", "3.0 - 4.0")))</calculatedColumnFormula>
    </tableColumn>
    <tableColumn id="15" xr3:uid="{EDB581CD-4308-4826-ADB3-C4E6330652F1}" name="Efficient FFA Removal" dataDxfId="14">
      <calculatedColumnFormula>IF(I6&lt;=0.5, "Efficient Removal",  "Pass the batch to 2nd Deo")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8B76-7B33-480E-82A5-FD08CEB8C566}">
  <dimension ref="A1:O33"/>
  <sheetViews>
    <sheetView workbookViewId="0">
      <selection activeCell="M3" sqref="M3"/>
    </sheetView>
  </sheetViews>
  <sheetFormatPr defaultRowHeight="14.4" x14ac:dyDescent="0.3"/>
  <cols>
    <col min="1" max="1" width="9.44140625" customWidth="1"/>
    <col min="2" max="2" width="10.33203125" bestFit="1" customWidth="1"/>
    <col min="3" max="3" width="14" customWidth="1"/>
    <col min="4" max="4" width="11.21875" customWidth="1"/>
    <col min="5" max="5" width="16.77734375" customWidth="1"/>
    <col min="6" max="6" width="16.44140625" customWidth="1"/>
    <col min="7" max="7" width="17.21875" customWidth="1"/>
    <col min="8" max="8" width="9.6640625" customWidth="1"/>
    <col min="9" max="9" width="10.6640625" customWidth="1"/>
    <col min="10" max="10" width="16.6640625" customWidth="1"/>
    <col min="11" max="11" width="14.88671875" customWidth="1"/>
    <col min="12" max="12" width="10.5546875" customWidth="1"/>
    <col min="13" max="13" width="12.109375" customWidth="1"/>
    <col min="14" max="14" width="14.44140625" bestFit="1" customWidth="1"/>
    <col min="15" max="15" width="22.44140625" bestFit="1" customWidth="1"/>
  </cols>
  <sheetData>
    <row r="1" spans="1:15" ht="14.4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4.4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5" spans="1:15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18</v>
      </c>
      <c r="N5" s="1" t="s">
        <v>23</v>
      </c>
      <c r="O5" s="1" t="s">
        <v>35</v>
      </c>
    </row>
    <row r="6" spans="1:15" x14ac:dyDescent="0.3">
      <c r="A6" s="2">
        <v>1</v>
      </c>
      <c r="B6" s="3">
        <v>45823</v>
      </c>
      <c r="C6" s="2">
        <v>1000</v>
      </c>
      <c r="D6" s="4">
        <v>1.94</v>
      </c>
      <c r="E6" s="2">
        <v>232</v>
      </c>
      <c r="F6" s="2">
        <v>760</v>
      </c>
      <c r="G6" s="10">
        <v>5.5</v>
      </c>
      <c r="H6" s="5" t="s">
        <v>14</v>
      </c>
      <c r="I6" s="4">
        <v>0.45</v>
      </c>
      <c r="J6" s="4">
        <f t="shared" ref="J6:J33" si="0">((D6-I6)/D6)*100</f>
        <v>76.80412371134021</v>
      </c>
      <c r="K6" s="2">
        <v>978</v>
      </c>
      <c r="L6" s="4">
        <f t="shared" ref="L6:L33" si="1">(K6/C6)*100</f>
        <v>97.8</v>
      </c>
      <c r="M6" s="5" t="str">
        <f t="shared" ref="M6:M33" si="2">IF(E6&lt;=230, "Increase Temp", IF(AND(E6&gt;230, E6&lt;=240), "T1", IF(AND(E6&gt;240, E6&lt;=250), "T2", IF(AND(E6&gt;250, E6&lt;=260), "T3", IF(AND(E6&gt;260, E6&lt;=270), "T4", "T5")))))</f>
        <v>T1</v>
      </c>
      <c r="N6" s="4" t="str">
        <f t="shared" ref="N6:N33" si="3">IF(AND(D6&gt;=0, D6&lt;=1), "0.0 - 1.0", IF(AND(D6&gt;1, D6&lt;=2), "1.0 - 2.0", IF(AND(D6&gt;2, D6&lt;=3), "2.0 - 3.0", "3.0 - 4.0")))</f>
        <v>1.0 - 2.0</v>
      </c>
      <c r="O6" s="4" t="str">
        <f t="shared" ref="O6:O33" si="4">IF(I6&lt;=0.5, "Efficient Removal",  "Pass the batch to 2nd Deo")</f>
        <v>Efficient Removal</v>
      </c>
    </row>
    <row r="7" spans="1:15" x14ac:dyDescent="0.3">
      <c r="A7" s="2">
        <v>2</v>
      </c>
      <c r="B7" s="3">
        <v>45824</v>
      </c>
      <c r="C7" s="2">
        <v>1000</v>
      </c>
      <c r="D7" s="4">
        <v>3.38</v>
      </c>
      <c r="E7" s="2">
        <v>266</v>
      </c>
      <c r="F7" s="2">
        <v>760</v>
      </c>
      <c r="G7" s="10">
        <v>5</v>
      </c>
      <c r="H7" s="5" t="s">
        <v>14</v>
      </c>
      <c r="I7" s="4">
        <v>0.45</v>
      </c>
      <c r="J7" s="4">
        <f t="shared" si="0"/>
        <v>86.68639053254438</v>
      </c>
      <c r="K7" s="2">
        <v>954</v>
      </c>
      <c r="L7" s="4">
        <f t="shared" si="1"/>
        <v>95.399999999999991</v>
      </c>
      <c r="M7" s="5" t="str">
        <f t="shared" si="2"/>
        <v>T4</v>
      </c>
      <c r="N7" s="4" t="str">
        <f t="shared" si="3"/>
        <v>3.0 - 4.0</v>
      </c>
      <c r="O7" s="4" t="str">
        <f t="shared" si="4"/>
        <v>Efficient Removal</v>
      </c>
    </row>
    <row r="8" spans="1:15" x14ac:dyDescent="0.3">
      <c r="A8" s="2">
        <v>3</v>
      </c>
      <c r="B8" s="3">
        <v>45825</v>
      </c>
      <c r="C8" s="2">
        <v>1000</v>
      </c>
      <c r="D8" s="4">
        <v>2.83</v>
      </c>
      <c r="E8" s="2">
        <v>236</v>
      </c>
      <c r="F8" s="2">
        <v>760</v>
      </c>
      <c r="G8" s="10">
        <v>7</v>
      </c>
      <c r="H8" s="5" t="s">
        <v>14</v>
      </c>
      <c r="I8" s="4">
        <v>0.5</v>
      </c>
      <c r="J8" s="4">
        <f t="shared" si="0"/>
        <v>82.332155477031804</v>
      </c>
      <c r="K8" s="2">
        <v>973</v>
      </c>
      <c r="L8" s="4">
        <f t="shared" si="1"/>
        <v>97.3</v>
      </c>
      <c r="M8" s="5" t="str">
        <f t="shared" si="2"/>
        <v>T1</v>
      </c>
      <c r="N8" s="4" t="str">
        <f t="shared" si="3"/>
        <v>2.0 - 3.0</v>
      </c>
      <c r="O8" s="4" t="str">
        <f t="shared" si="4"/>
        <v>Efficient Removal</v>
      </c>
    </row>
    <row r="9" spans="1:15" x14ac:dyDescent="0.3">
      <c r="A9" s="2">
        <v>4</v>
      </c>
      <c r="B9" s="3">
        <v>45826</v>
      </c>
      <c r="C9" s="2">
        <v>1000</v>
      </c>
      <c r="D9" s="4">
        <v>2.5</v>
      </c>
      <c r="E9" s="2">
        <v>250</v>
      </c>
      <c r="F9" s="2">
        <v>760</v>
      </c>
      <c r="G9" s="10">
        <v>5</v>
      </c>
      <c r="H9" s="5" t="s">
        <v>14</v>
      </c>
      <c r="I9" s="4">
        <v>0.49</v>
      </c>
      <c r="J9" s="4">
        <f t="shared" si="0"/>
        <v>80.399999999999991</v>
      </c>
      <c r="K9" s="2">
        <v>965</v>
      </c>
      <c r="L9" s="4">
        <f t="shared" si="1"/>
        <v>96.5</v>
      </c>
      <c r="M9" s="5" t="str">
        <f t="shared" si="2"/>
        <v>T2</v>
      </c>
      <c r="N9" s="4" t="str">
        <f t="shared" si="3"/>
        <v>2.0 - 3.0</v>
      </c>
      <c r="O9" s="4" t="str">
        <f t="shared" si="4"/>
        <v>Efficient Removal</v>
      </c>
    </row>
    <row r="10" spans="1:15" x14ac:dyDescent="0.3">
      <c r="A10" s="2">
        <v>5</v>
      </c>
      <c r="B10" s="3">
        <v>45827</v>
      </c>
      <c r="C10" s="2">
        <v>1000</v>
      </c>
      <c r="D10" s="4">
        <v>1.39</v>
      </c>
      <c r="E10" s="2">
        <v>250</v>
      </c>
      <c r="F10" s="2">
        <v>760</v>
      </c>
      <c r="G10" s="10">
        <v>4</v>
      </c>
      <c r="H10" s="5" t="s">
        <v>14</v>
      </c>
      <c r="I10" s="4">
        <v>0.27</v>
      </c>
      <c r="J10" s="4">
        <f t="shared" si="0"/>
        <v>80.57553956834532</v>
      </c>
      <c r="K10" s="2">
        <v>965</v>
      </c>
      <c r="L10" s="4">
        <f t="shared" si="1"/>
        <v>96.5</v>
      </c>
      <c r="M10" s="5" t="str">
        <f t="shared" si="2"/>
        <v>T2</v>
      </c>
      <c r="N10" s="4" t="str">
        <f t="shared" si="3"/>
        <v>1.0 - 2.0</v>
      </c>
      <c r="O10" s="4" t="str">
        <f t="shared" si="4"/>
        <v>Efficient Removal</v>
      </c>
    </row>
    <row r="11" spans="1:15" x14ac:dyDescent="0.3">
      <c r="A11" s="2">
        <v>6</v>
      </c>
      <c r="B11" s="3">
        <v>45828</v>
      </c>
      <c r="C11" s="2">
        <v>1000</v>
      </c>
      <c r="D11" s="4">
        <v>1.39</v>
      </c>
      <c r="E11" s="2">
        <v>268</v>
      </c>
      <c r="F11" s="2">
        <v>760</v>
      </c>
      <c r="G11" s="10">
        <v>3</v>
      </c>
      <c r="H11" s="5" t="s">
        <v>14</v>
      </c>
      <c r="I11" s="4">
        <v>0.19</v>
      </c>
      <c r="J11" s="4">
        <f t="shared" si="0"/>
        <v>86.330935251798564</v>
      </c>
      <c r="K11" s="2">
        <v>955</v>
      </c>
      <c r="L11" s="4">
        <f t="shared" si="1"/>
        <v>95.5</v>
      </c>
      <c r="M11" s="5" t="str">
        <f t="shared" si="2"/>
        <v>T4</v>
      </c>
      <c r="N11" s="4" t="str">
        <f t="shared" si="3"/>
        <v>1.0 - 2.0</v>
      </c>
      <c r="O11" s="4" t="str">
        <f t="shared" si="4"/>
        <v>Efficient Removal</v>
      </c>
    </row>
    <row r="12" spans="1:15" x14ac:dyDescent="0.3">
      <c r="A12" s="2">
        <v>7</v>
      </c>
      <c r="B12" s="3">
        <v>45829</v>
      </c>
      <c r="C12" s="2">
        <v>1000</v>
      </c>
      <c r="D12" s="4">
        <v>1.1499999999999999</v>
      </c>
      <c r="E12" s="2">
        <v>266</v>
      </c>
      <c r="F12" s="2">
        <v>760</v>
      </c>
      <c r="G12" s="10">
        <v>3</v>
      </c>
      <c r="H12" s="5" t="s">
        <v>14</v>
      </c>
      <c r="I12" s="4">
        <v>0.19</v>
      </c>
      <c r="J12" s="4">
        <f t="shared" si="0"/>
        <v>83.478260869565219</v>
      </c>
      <c r="K12" s="2">
        <v>956</v>
      </c>
      <c r="L12" s="4">
        <f t="shared" si="1"/>
        <v>95.6</v>
      </c>
      <c r="M12" s="5" t="str">
        <f t="shared" si="2"/>
        <v>T4</v>
      </c>
      <c r="N12" s="4" t="str">
        <f t="shared" si="3"/>
        <v>1.0 - 2.0</v>
      </c>
      <c r="O12" s="4" t="str">
        <f t="shared" si="4"/>
        <v>Efficient Removal</v>
      </c>
    </row>
    <row r="13" spans="1:15" x14ac:dyDescent="0.3">
      <c r="A13" s="2">
        <v>8</v>
      </c>
      <c r="B13" s="3">
        <v>45830</v>
      </c>
      <c r="C13" s="2">
        <v>1000</v>
      </c>
      <c r="D13" s="4">
        <v>3.17</v>
      </c>
      <c r="E13" s="2">
        <v>233</v>
      </c>
      <c r="F13" s="2">
        <v>760</v>
      </c>
      <c r="G13" s="10">
        <v>7</v>
      </c>
      <c r="H13" s="5" t="s">
        <v>15</v>
      </c>
      <c r="I13" s="4">
        <v>0.6</v>
      </c>
      <c r="J13" s="4">
        <f t="shared" si="0"/>
        <v>81.072555205047308</v>
      </c>
      <c r="K13" s="2">
        <v>959</v>
      </c>
      <c r="L13" s="4">
        <f t="shared" si="1"/>
        <v>95.899999999999991</v>
      </c>
      <c r="M13" s="5" t="str">
        <f t="shared" si="2"/>
        <v>T1</v>
      </c>
      <c r="N13" s="4" t="str">
        <f t="shared" si="3"/>
        <v>3.0 - 4.0</v>
      </c>
      <c r="O13" s="4" t="str">
        <f t="shared" si="4"/>
        <v>Pass the batch to 2nd Deo</v>
      </c>
    </row>
    <row r="14" spans="1:15" x14ac:dyDescent="0.3">
      <c r="A14" s="2">
        <v>9</v>
      </c>
      <c r="B14" s="3">
        <v>45831</v>
      </c>
      <c r="C14" s="2">
        <v>1000</v>
      </c>
      <c r="D14" s="4">
        <v>2.5</v>
      </c>
      <c r="E14" s="2">
        <v>254</v>
      </c>
      <c r="F14" s="2">
        <v>760</v>
      </c>
      <c r="G14" s="10">
        <v>5</v>
      </c>
      <c r="H14" s="5" t="s">
        <v>15</v>
      </c>
      <c r="I14" s="4">
        <v>0.49</v>
      </c>
      <c r="J14" s="4">
        <f t="shared" si="0"/>
        <v>80.399999999999991</v>
      </c>
      <c r="K14" s="2">
        <v>961</v>
      </c>
      <c r="L14" s="4">
        <f t="shared" si="1"/>
        <v>96.1</v>
      </c>
      <c r="M14" s="5" t="str">
        <f t="shared" si="2"/>
        <v>T3</v>
      </c>
      <c r="N14" s="4" t="str">
        <f t="shared" si="3"/>
        <v>2.0 - 3.0</v>
      </c>
      <c r="O14" s="4" t="str">
        <f t="shared" si="4"/>
        <v>Efficient Removal</v>
      </c>
    </row>
    <row r="15" spans="1:15" x14ac:dyDescent="0.3">
      <c r="A15" s="2">
        <v>10</v>
      </c>
      <c r="B15" s="3">
        <v>45832</v>
      </c>
      <c r="C15" s="2">
        <v>1000</v>
      </c>
      <c r="D15" s="4">
        <v>2.77</v>
      </c>
      <c r="E15" s="2">
        <v>243</v>
      </c>
      <c r="F15" s="2">
        <v>760</v>
      </c>
      <c r="G15" s="10">
        <v>7</v>
      </c>
      <c r="H15" s="5" t="s">
        <v>15</v>
      </c>
      <c r="I15" s="4">
        <v>0.48</v>
      </c>
      <c r="J15" s="4">
        <f t="shared" si="0"/>
        <v>82.671480144404327</v>
      </c>
      <c r="K15" s="2">
        <v>968</v>
      </c>
      <c r="L15" s="4">
        <f t="shared" si="1"/>
        <v>96.8</v>
      </c>
      <c r="M15" s="5" t="str">
        <f t="shared" si="2"/>
        <v>T2</v>
      </c>
      <c r="N15" s="4" t="str">
        <f t="shared" si="3"/>
        <v>2.0 - 3.0</v>
      </c>
      <c r="O15" s="4" t="str">
        <f t="shared" si="4"/>
        <v>Efficient Removal</v>
      </c>
    </row>
    <row r="16" spans="1:15" x14ac:dyDescent="0.3">
      <c r="A16" s="2">
        <v>11</v>
      </c>
      <c r="B16" s="3">
        <v>45833</v>
      </c>
      <c r="C16" s="2">
        <v>1000</v>
      </c>
      <c r="D16" s="4">
        <v>1.05</v>
      </c>
      <c r="E16" s="2">
        <v>262</v>
      </c>
      <c r="F16" s="2">
        <v>760</v>
      </c>
      <c r="G16" s="10">
        <v>3</v>
      </c>
      <c r="H16" s="5" t="s">
        <v>15</v>
      </c>
      <c r="I16" s="4">
        <v>0.2</v>
      </c>
      <c r="J16" s="4">
        <f t="shared" si="0"/>
        <v>80.952380952380949</v>
      </c>
      <c r="K16" s="2">
        <v>960</v>
      </c>
      <c r="L16" s="4">
        <f t="shared" si="1"/>
        <v>96</v>
      </c>
      <c r="M16" s="5" t="str">
        <f t="shared" si="2"/>
        <v>T4</v>
      </c>
      <c r="N16" s="4" t="str">
        <f t="shared" si="3"/>
        <v>1.0 - 2.0</v>
      </c>
      <c r="O16" s="4" t="str">
        <f t="shared" si="4"/>
        <v>Efficient Removal</v>
      </c>
    </row>
    <row r="17" spans="1:15" x14ac:dyDescent="0.3">
      <c r="A17" s="2">
        <v>12</v>
      </c>
      <c r="B17" s="3">
        <v>45834</v>
      </c>
      <c r="C17" s="2">
        <v>1000</v>
      </c>
      <c r="D17" s="4">
        <v>3.42</v>
      </c>
      <c r="E17" s="2">
        <v>235</v>
      </c>
      <c r="F17" s="2">
        <v>760</v>
      </c>
      <c r="G17" s="10">
        <v>7</v>
      </c>
      <c r="H17" s="5" t="s">
        <v>15</v>
      </c>
      <c r="I17" s="4">
        <v>0.49</v>
      </c>
      <c r="J17" s="4">
        <f t="shared" si="0"/>
        <v>85.672514619883032</v>
      </c>
      <c r="K17" s="2">
        <v>958</v>
      </c>
      <c r="L17" s="4">
        <f t="shared" si="1"/>
        <v>95.8</v>
      </c>
      <c r="M17" s="5" t="str">
        <f t="shared" si="2"/>
        <v>T1</v>
      </c>
      <c r="N17" s="4" t="str">
        <f t="shared" si="3"/>
        <v>3.0 - 4.0</v>
      </c>
      <c r="O17" s="4" t="str">
        <f t="shared" si="4"/>
        <v>Efficient Removal</v>
      </c>
    </row>
    <row r="18" spans="1:15" x14ac:dyDescent="0.3">
      <c r="A18" s="2">
        <v>13</v>
      </c>
      <c r="B18" s="3">
        <v>45835</v>
      </c>
      <c r="C18" s="2">
        <v>1000</v>
      </c>
      <c r="D18" s="4">
        <v>3.08</v>
      </c>
      <c r="E18" s="2">
        <v>248</v>
      </c>
      <c r="F18" s="2">
        <v>760</v>
      </c>
      <c r="G18" s="10">
        <v>5.5</v>
      </c>
      <c r="H18" s="5" t="s">
        <v>15</v>
      </c>
      <c r="I18" s="4">
        <v>0.62</v>
      </c>
      <c r="J18" s="4">
        <f t="shared" si="0"/>
        <v>79.870129870129873</v>
      </c>
      <c r="K18" s="2">
        <v>963</v>
      </c>
      <c r="L18" s="4">
        <f t="shared" si="1"/>
        <v>96.3</v>
      </c>
      <c r="M18" s="5" t="str">
        <f t="shared" si="2"/>
        <v>T2</v>
      </c>
      <c r="N18" s="4" t="str">
        <f t="shared" si="3"/>
        <v>3.0 - 4.0</v>
      </c>
      <c r="O18" s="4" t="str">
        <f t="shared" si="4"/>
        <v>Pass the batch to 2nd Deo</v>
      </c>
    </row>
    <row r="19" spans="1:15" x14ac:dyDescent="0.3">
      <c r="A19" s="2">
        <v>14</v>
      </c>
      <c r="B19" s="3">
        <v>45836</v>
      </c>
      <c r="C19" s="2">
        <v>1000</v>
      </c>
      <c r="D19" s="4">
        <v>1.53</v>
      </c>
      <c r="E19" s="2">
        <v>249</v>
      </c>
      <c r="F19" s="2">
        <v>760</v>
      </c>
      <c r="G19" s="10">
        <v>4.5</v>
      </c>
      <c r="H19" s="5" t="s">
        <v>15</v>
      </c>
      <c r="I19" s="4">
        <v>0.28999999999999998</v>
      </c>
      <c r="J19" s="4">
        <f t="shared" si="0"/>
        <v>81.045751633986924</v>
      </c>
      <c r="K19" s="2">
        <v>968</v>
      </c>
      <c r="L19" s="4">
        <f t="shared" si="1"/>
        <v>96.8</v>
      </c>
      <c r="M19" s="5" t="str">
        <f t="shared" si="2"/>
        <v>T2</v>
      </c>
      <c r="N19" s="4" t="str">
        <f t="shared" si="3"/>
        <v>1.0 - 2.0</v>
      </c>
      <c r="O19" s="4" t="str">
        <f t="shared" si="4"/>
        <v>Efficient Removal</v>
      </c>
    </row>
    <row r="20" spans="1:15" x14ac:dyDescent="0.3">
      <c r="A20" s="2">
        <v>15</v>
      </c>
      <c r="B20" s="3">
        <v>45837</v>
      </c>
      <c r="C20" s="2">
        <v>1000</v>
      </c>
      <c r="D20" s="4">
        <v>1.45</v>
      </c>
      <c r="E20" s="2">
        <v>257</v>
      </c>
      <c r="F20" s="2">
        <v>760</v>
      </c>
      <c r="G20" s="10">
        <v>4</v>
      </c>
      <c r="H20" s="5" t="s">
        <v>13</v>
      </c>
      <c r="I20" s="4">
        <v>0.25</v>
      </c>
      <c r="J20" s="4">
        <f t="shared" si="0"/>
        <v>82.758620689655174</v>
      </c>
      <c r="K20" s="2">
        <v>961</v>
      </c>
      <c r="L20" s="4">
        <f t="shared" si="1"/>
        <v>96.1</v>
      </c>
      <c r="M20" s="5" t="str">
        <f t="shared" si="2"/>
        <v>T3</v>
      </c>
      <c r="N20" s="4" t="str">
        <f t="shared" si="3"/>
        <v>1.0 - 2.0</v>
      </c>
      <c r="O20" s="4" t="str">
        <f t="shared" si="4"/>
        <v>Efficient Removal</v>
      </c>
    </row>
    <row r="21" spans="1:15" x14ac:dyDescent="0.3">
      <c r="A21" s="2">
        <v>16</v>
      </c>
      <c r="B21" s="3">
        <v>45838</v>
      </c>
      <c r="C21" s="2">
        <v>1000</v>
      </c>
      <c r="D21" s="4">
        <v>1.46</v>
      </c>
      <c r="E21" s="2">
        <v>236</v>
      </c>
      <c r="F21" s="2">
        <v>760</v>
      </c>
      <c r="G21" s="10">
        <v>5</v>
      </c>
      <c r="H21" s="5" t="s">
        <v>13</v>
      </c>
      <c r="I21" s="4">
        <v>0.32</v>
      </c>
      <c r="J21" s="4">
        <f t="shared" si="0"/>
        <v>78.082191780821901</v>
      </c>
      <c r="K21" s="2">
        <v>975</v>
      </c>
      <c r="L21" s="4">
        <f t="shared" si="1"/>
        <v>97.5</v>
      </c>
      <c r="M21" s="5" t="str">
        <f t="shared" si="2"/>
        <v>T1</v>
      </c>
      <c r="N21" s="4" t="str">
        <f t="shared" si="3"/>
        <v>1.0 - 2.0</v>
      </c>
      <c r="O21" s="4" t="str">
        <f t="shared" si="4"/>
        <v>Efficient Removal</v>
      </c>
    </row>
    <row r="22" spans="1:15" x14ac:dyDescent="0.3">
      <c r="A22" s="2">
        <v>17</v>
      </c>
      <c r="B22" s="3">
        <v>45839</v>
      </c>
      <c r="C22" s="2">
        <v>1000</v>
      </c>
      <c r="D22" s="4">
        <v>1.76</v>
      </c>
      <c r="E22" s="2">
        <v>237</v>
      </c>
      <c r="F22" s="2">
        <v>760</v>
      </c>
      <c r="G22" s="10">
        <v>5</v>
      </c>
      <c r="H22" s="5" t="s">
        <v>13</v>
      </c>
      <c r="I22" s="4">
        <v>0.26</v>
      </c>
      <c r="J22" s="4">
        <f t="shared" si="0"/>
        <v>85.227272727272734</v>
      </c>
      <c r="K22" s="2">
        <v>974</v>
      </c>
      <c r="L22" s="4">
        <f t="shared" si="1"/>
        <v>97.399999999999991</v>
      </c>
      <c r="M22" s="5" t="str">
        <f t="shared" si="2"/>
        <v>T1</v>
      </c>
      <c r="N22" s="4" t="str">
        <f t="shared" si="3"/>
        <v>1.0 - 2.0</v>
      </c>
      <c r="O22" s="4" t="str">
        <f t="shared" si="4"/>
        <v>Efficient Removal</v>
      </c>
    </row>
    <row r="23" spans="1:15" x14ac:dyDescent="0.3">
      <c r="A23" s="2">
        <v>18</v>
      </c>
      <c r="B23" s="3">
        <v>45840</v>
      </c>
      <c r="C23" s="2">
        <v>1000</v>
      </c>
      <c r="D23" s="4">
        <v>2.31</v>
      </c>
      <c r="E23" s="2">
        <v>264</v>
      </c>
      <c r="F23" s="2">
        <v>760</v>
      </c>
      <c r="G23" s="10">
        <v>5</v>
      </c>
      <c r="H23" s="5" t="s">
        <v>13</v>
      </c>
      <c r="I23" s="4">
        <v>0.39</v>
      </c>
      <c r="J23" s="4">
        <f t="shared" si="0"/>
        <v>83.116883116883116</v>
      </c>
      <c r="K23" s="2">
        <v>955</v>
      </c>
      <c r="L23" s="4">
        <f t="shared" si="1"/>
        <v>95.5</v>
      </c>
      <c r="M23" s="5" t="str">
        <f t="shared" si="2"/>
        <v>T4</v>
      </c>
      <c r="N23" s="4" t="str">
        <f t="shared" si="3"/>
        <v>2.0 - 3.0</v>
      </c>
      <c r="O23" s="4" t="str">
        <f t="shared" si="4"/>
        <v>Efficient Removal</v>
      </c>
    </row>
    <row r="24" spans="1:15" x14ac:dyDescent="0.3">
      <c r="A24" s="2">
        <v>19</v>
      </c>
      <c r="B24" s="3">
        <v>45841</v>
      </c>
      <c r="C24" s="2">
        <v>1000</v>
      </c>
      <c r="D24" s="4">
        <v>2.08</v>
      </c>
      <c r="E24" s="2">
        <v>243</v>
      </c>
      <c r="F24" s="2">
        <v>760</v>
      </c>
      <c r="G24" s="10">
        <v>6</v>
      </c>
      <c r="H24" s="5" t="s">
        <v>13</v>
      </c>
      <c r="I24" s="4">
        <v>0.54</v>
      </c>
      <c r="J24" s="4">
        <f t="shared" si="0"/>
        <v>74.038461538461547</v>
      </c>
      <c r="K24" s="2">
        <v>965</v>
      </c>
      <c r="L24" s="4">
        <f t="shared" si="1"/>
        <v>96.5</v>
      </c>
      <c r="M24" s="5" t="str">
        <f t="shared" si="2"/>
        <v>T2</v>
      </c>
      <c r="N24" s="4" t="str">
        <f t="shared" si="3"/>
        <v>2.0 - 3.0</v>
      </c>
      <c r="O24" s="4" t="str">
        <f t="shared" si="4"/>
        <v>Pass the batch to 2nd Deo</v>
      </c>
    </row>
    <row r="25" spans="1:15" x14ac:dyDescent="0.3">
      <c r="A25" s="2">
        <v>20</v>
      </c>
      <c r="B25" s="3">
        <v>45842</v>
      </c>
      <c r="C25" s="2">
        <v>1000</v>
      </c>
      <c r="D25" s="4">
        <v>1.73</v>
      </c>
      <c r="E25" s="2">
        <v>246</v>
      </c>
      <c r="F25" s="2">
        <v>760</v>
      </c>
      <c r="G25" s="10">
        <v>4.5</v>
      </c>
      <c r="H25" s="5" t="s">
        <v>13</v>
      </c>
      <c r="I25" s="4">
        <v>0.32</v>
      </c>
      <c r="J25" s="4">
        <f t="shared" si="0"/>
        <v>81.502890173410407</v>
      </c>
      <c r="K25" s="2">
        <v>966</v>
      </c>
      <c r="L25" s="4">
        <f t="shared" si="1"/>
        <v>96.6</v>
      </c>
      <c r="M25" s="5" t="str">
        <f t="shared" si="2"/>
        <v>T2</v>
      </c>
      <c r="N25" s="4" t="str">
        <f t="shared" si="3"/>
        <v>1.0 - 2.0</v>
      </c>
      <c r="O25" s="4" t="str">
        <f t="shared" si="4"/>
        <v>Efficient Removal</v>
      </c>
    </row>
    <row r="26" spans="1:15" x14ac:dyDescent="0.3">
      <c r="A26" s="2">
        <v>21</v>
      </c>
      <c r="B26" s="3">
        <v>45843</v>
      </c>
      <c r="C26" s="2">
        <v>1000</v>
      </c>
      <c r="D26" s="4">
        <v>2.5299999999999998</v>
      </c>
      <c r="E26" s="2">
        <v>260</v>
      </c>
      <c r="F26" s="2">
        <v>760</v>
      </c>
      <c r="G26" s="10">
        <v>5</v>
      </c>
      <c r="H26" s="5" t="s">
        <v>13</v>
      </c>
      <c r="I26" s="4">
        <v>0.45</v>
      </c>
      <c r="J26" s="4">
        <f t="shared" si="0"/>
        <v>82.21343873517786</v>
      </c>
      <c r="K26" s="2">
        <v>960</v>
      </c>
      <c r="L26" s="4">
        <f t="shared" si="1"/>
        <v>96</v>
      </c>
      <c r="M26" s="5" t="str">
        <f t="shared" si="2"/>
        <v>T3</v>
      </c>
      <c r="N26" s="4" t="str">
        <f t="shared" si="3"/>
        <v>2.0 - 3.0</v>
      </c>
      <c r="O26" s="4" t="str">
        <f t="shared" si="4"/>
        <v>Efficient Removal</v>
      </c>
    </row>
    <row r="27" spans="1:15" x14ac:dyDescent="0.3">
      <c r="A27" s="2">
        <v>22</v>
      </c>
      <c r="B27" s="3">
        <v>45844</v>
      </c>
      <c r="C27" s="2">
        <v>1000</v>
      </c>
      <c r="D27" s="4">
        <v>1.35</v>
      </c>
      <c r="E27" s="2">
        <v>269</v>
      </c>
      <c r="F27" s="2">
        <v>760</v>
      </c>
      <c r="G27" s="10">
        <v>3.5</v>
      </c>
      <c r="H27" s="5" t="s">
        <v>16</v>
      </c>
      <c r="I27" s="4">
        <v>0.2</v>
      </c>
      <c r="J27" s="4">
        <f t="shared" si="0"/>
        <v>85.18518518518519</v>
      </c>
      <c r="K27" s="2">
        <v>955</v>
      </c>
      <c r="L27" s="4">
        <f t="shared" si="1"/>
        <v>95.5</v>
      </c>
      <c r="M27" s="5" t="str">
        <f t="shared" si="2"/>
        <v>T4</v>
      </c>
      <c r="N27" s="4" t="str">
        <f t="shared" si="3"/>
        <v>1.0 - 2.0</v>
      </c>
      <c r="O27" s="4" t="str">
        <f t="shared" si="4"/>
        <v>Efficient Removal</v>
      </c>
    </row>
    <row r="28" spans="1:15" x14ac:dyDescent="0.3">
      <c r="A28" s="2">
        <v>23</v>
      </c>
      <c r="B28" s="3">
        <v>45845</v>
      </c>
      <c r="C28" s="2">
        <v>1000</v>
      </c>
      <c r="D28" s="4">
        <v>1.73</v>
      </c>
      <c r="E28" s="2">
        <v>233</v>
      </c>
      <c r="F28" s="2">
        <v>760</v>
      </c>
      <c r="G28" s="10">
        <v>5</v>
      </c>
      <c r="H28" s="5" t="s">
        <v>16</v>
      </c>
      <c r="I28" s="4">
        <v>0.39</v>
      </c>
      <c r="J28" s="4">
        <f t="shared" si="0"/>
        <v>77.456647398843927</v>
      </c>
      <c r="K28" s="2">
        <v>978</v>
      </c>
      <c r="L28" s="4">
        <f t="shared" si="1"/>
        <v>97.8</v>
      </c>
      <c r="M28" s="5" t="str">
        <f t="shared" si="2"/>
        <v>T1</v>
      </c>
      <c r="N28" s="4" t="str">
        <f t="shared" si="3"/>
        <v>1.0 - 2.0</v>
      </c>
      <c r="O28" s="4" t="str">
        <f t="shared" si="4"/>
        <v>Efficient Removal</v>
      </c>
    </row>
    <row r="29" spans="1:15" x14ac:dyDescent="0.3">
      <c r="A29" s="2">
        <v>24</v>
      </c>
      <c r="B29" s="3">
        <v>45846</v>
      </c>
      <c r="C29" s="2">
        <v>1000</v>
      </c>
      <c r="D29" s="4">
        <v>1.92</v>
      </c>
      <c r="E29" s="2">
        <v>248</v>
      </c>
      <c r="F29" s="2">
        <v>760</v>
      </c>
      <c r="G29" s="10">
        <v>4.5</v>
      </c>
      <c r="H29" s="5" t="s">
        <v>16</v>
      </c>
      <c r="I29" s="4">
        <v>0.42</v>
      </c>
      <c r="J29" s="4">
        <f t="shared" si="0"/>
        <v>78.125</v>
      </c>
      <c r="K29" s="2">
        <v>962</v>
      </c>
      <c r="L29" s="4">
        <f t="shared" si="1"/>
        <v>96.2</v>
      </c>
      <c r="M29" s="5" t="str">
        <f t="shared" si="2"/>
        <v>T2</v>
      </c>
      <c r="N29" s="4" t="str">
        <f t="shared" si="3"/>
        <v>1.0 - 2.0</v>
      </c>
      <c r="O29" s="4" t="str">
        <f t="shared" si="4"/>
        <v>Efficient Removal</v>
      </c>
    </row>
    <row r="30" spans="1:15" x14ac:dyDescent="0.3">
      <c r="A30" s="2">
        <v>25</v>
      </c>
      <c r="B30" s="3">
        <v>45847</v>
      </c>
      <c r="C30" s="2">
        <v>1000</v>
      </c>
      <c r="D30" s="4">
        <v>2.14</v>
      </c>
      <c r="E30" s="2">
        <v>235</v>
      </c>
      <c r="F30" s="2">
        <v>760</v>
      </c>
      <c r="G30" s="10">
        <v>6.5</v>
      </c>
      <c r="H30" s="5" t="s">
        <v>16</v>
      </c>
      <c r="I30" s="4">
        <v>0.56999999999999995</v>
      </c>
      <c r="J30" s="4">
        <f t="shared" si="0"/>
        <v>73.36448598130842</v>
      </c>
      <c r="K30" s="2">
        <v>972</v>
      </c>
      <c r="L30" s="4">
        <f t="shared" si="1"/>
        <v>97.2</v>
      </c>
      <c r="M30" s="5" t="str">
        <f t="shared" si="2"/>
        <v>T1</v>
      </c>
      <c r="N30" s="4" t="str">
        <f t="shared" si="3"/>
        <v>2.0 - 3.0</v>
      </c>
      <c r="O30" s="4" t="str">
        <f t="shared" si="4"/>
        <v>Pass the batch to 2nd Deo</v>
      </c>
    </row>
    <row r="31" spans="1:15" x14ac:dyDescent="0.3">
      <c r="A31" s="2">
        <v>26</v>
      </c>
      <c r="B31" s="3">
        <v>45848</v>
      </c>
      <c r="C31" s="2">
        <v>1000</v>
      </c>
      <c r="D31" s="4">
        <v>2.96</v>
      </c>
      <c r="E31" s="2">
        <v>242</v>
      </c>
      <c r="F31" s="2">
        <v>760</v>
      </c>
      <c r="G31" s="10">
        <v>7</v>
      </c>
      <c r="H31" s="5" t="s">
        <v>16</v>
      </c>
      <c r="I31" s="4">
        <v>0.47</v>
      </c>
      <c r="J31" s="4">
        <f t="shared" si="0"/>
        <v>84.121621621621628</v>
      </c>
      <c r="K31" s="2">
        <v>968</v>
      </c>
      <c r="L31" s="4">
        <f t="shared" si="1"/>
        <v>96.8</v>
      </c>
      <c r="M31" s="5" t="str">
        <f t="shared" si="2"/>
        <v>T2</v>
      </c>
      <c r="N31" s="4" t="str">
        <f t="shared" si="3"/>
        <v>2.0 - 3.0</v>
      </c>
      <c r="O31" s="4" t="str">
        <f t="shared" si="4"/>
        <v>Efficient Removal</v>
      </c>
    </row>
    <row r="32" spans="1:15" x14ac:dyDescent="0.3">
      <c r="A32" s="2">
        <v>27</v>
      </c>
      <c r="B32" s="3">
        <v>45849</v>
      </c>
      <c r="C32" s="2">
        <v>1000</v>
      </c>
      <c r="D32" s="4">
        <v>2.4500000000000002</v>
      </c>
      <c r="E32" s="2">
        <v>250</v>
      </c>
      <c r="F32" s="2">
        <v>760</v>
      </c>
      <c r="G32" s="10">
        <v>5</v>
      </c>
      <c r="H32" s="5" t="s">
        <v>16</v>
      </c>
      <c r="I32" s="4">
        <v>0.45</v>
      </c>
      <c r="J32" s="4">
        <f t="shared" si="0"/>
        <v>81.632653061224474</v>
      </c>
      <c r="K32" s="2">
        <v>962</v>
      </c>
      <c r="L32" s="4">
        <f t="shared" si="1"/>
        <v>96.2</v>
      </c>
      <c r="M32" s="5" t="str">
        <f t="shared" si="2"/>
        <v>T2</v>
      </c>
      <c r="N32" s="4" t="str">
        <f t="shared" si="3"/>
        <v>2.0 - 3.0</v>
      </c>
      <c r="O32" s="4" t="str">
        <f t="shared" si="4"/>
        <v>Efficient Removal</v>
      </c>
    </row>
    <row r="33" spans="1:15" x14ac:dyDescent="0.3">
      <c r="A33" s="2">
        <v>28</v>
      </c>
      <c r="B33" s="3">
        <v>45850</v>
      </c>
      <c r="C33" s="2">
        <v>1000</v>
      </c>
      <c r="D33" s="4">
        <v>1.19</v>
      </c>
      <c r="E33" s="2">
        <v>255</v>
      </c>
      <c r="F33" s="2">
        <v>760</v>
      </c>
      <c r="G33" s="10">
        <v>4</v>
      </c>
      <c r="H33" s="5" t="s">
        <v>16</v>
      </c>
      <c r="I33" s="4">
        <v>0.25</v>
      </c>
      <c r="J33" s="4">
        <f t="shared" si="0"/>
        <v>78.991596638655466</v>
      </c>
      <c r="K33" s="2">
        <v>961</v>
      </c>
      <c r="L33" s="4">
        <f t="shared" si="1"/>
        <v>96.1</v>
      </c>
      <c r="M33" s="5" t="str">
        <f t="shared" si="2"/>
        <v>T3</v>
      </c>
      <c r="N33" s="4" t="str">
        <f t="shared" si="3"/>
        <v>1.0 - 2.0</v>
      </c>
      <c r="O33" s="4" t="str">
        <f t="shared" si="4"/>
        <v>Efficient Removal</v>
      </c>
    </row>
  </sheetData>
  <mergeCells count="1">
    <mergeCell ref="A1:O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38D5-6732-4938-ACD5-92C70E89C66C}">
  <dimension ref="A1:N6"/>
  <sheetViews>
    <sheetView workbookViewId="0">
      <selection activeCell="L8" sqref="L8"/>
    </sheetView>
  </sheetViews>
  <sheetFormatPr defaultRowHeight="14.4" x14ac:dyDescent="0.3"/>
  <cols>
    <col min="1" max="1" width="10.77734375" bestFit="1" customWidth="1"/>
    <col min="2" max="2" width="23.21875" bestFit="1" customWidth="1"/>
    <col min="3" max="3" width="11.21875" customWidth="1"/>
    <col min="7" max="7" width="13.6640625" bestFit="1" customWidth="1"/>
    <col min="8" max="8" width="23" bestFit="1" customWidth="1"/>
    <col min="9" max="9" width="11.6640625" customWidth="1"/>
    <col min="10" max="10" width="9.33203125" customWidth="1"/>
    <col min="13" max="13" width="16.77734375" customWidth="1"/>
    <col min="14" max="14" width="22.5546875" customWidth="1"/>
    <col min="15" max="15" width="10" customWidth="1"/>
  </cols>
  <sheetData>
    <row r="1" spans="1:14" x14ac:dyDescent="0.3">
      <c r="A1" s="7" t="s">
        <v>8</v>
      </c>
      <c r="B1" t="s">
        <v>37</v>
      </c>
      <c r="G1" s="7" t="s">
        <v>18</v>
      </c>
      <c r="H1" t="s">
        <v>36</v>
      </c>
      <c r="M1" s="7" t="s">
        <v>23</v>
      </c>
      <c r="N1" t="s">
        <v>36</v>
      </c>
    </row>
    <row r="2" spans="1:14" x14ac:dyDescent="0.3">
      <c r="A2" s="8" t="s">
        <v>14</v>
      </c>
      <c r="B2" s="9">
        <v>82.372486487232209</v>
      </c>
      <c r="G2" s="8" t="s">
        <v>19</v>
      </c>
      <c r="H2" s="12">
        <v>6</v>
      </c>
      <c r="M2" s="8" t="s">
        <v>24</v>
      </c>
      <c r="N2" s="12">
        <v>4.1785714285714288</v>
      </c>
    </row>
    <row r="3" spans="1:14" x14ac:dyDescent="0.3">
      <c r="A3" s="8" t="s">
        <v>15</v>
      </c>
      <c r="B3" s="9">
        <v>81.669258917976066</v>
      </c>
      <c r="G3" s="9" t="s">
        <v>20</v>
      </c>
      <c r="H3" s="12">
        <v>5.3</v>
      </c>
      <c r="M3" s="8" t="s">
        <v>25</v>
      </c>
      <c r="N3" s="12">
        <v>5.85</v>
      </c>
    </row>
    <row r="4" spans="1:14" x14ac:dyDescent="0.3">
      <c r="A4" s="8" t="s">
        <v>13</v>
      </c>
      <c r="B4" s="9">
        <v>80.991394108811832</v>
      </c>
      <c r="G4" s="8" t="s">
        <v>21</v>
      </c>
      <c r="H4" s="12">
        <v>4.5</v>
      </c>
      <c r="M4" s="8" t="s">
        <v>26</v>
      </c>
      <c r="N4" s="12">
        <v>6.125</v>
      </c>
    </row>
    <row r="5" spans="1:14" x14ac:dyDescent="0.3">
      <c r="A5" s="8" t="s">
        <v>16</v>
      </c>
      <c r="B5" s="9">
        <v>79.839598555262725</v>
      </c>
      <c r="G5" s="8" t="s">
        <v>22</v>
      </c>
      <c r="H5" s="12">
        <v>3.75</v>
      </c>
      <c r="M5" s="8" t="s">
        <v>17</v>
      </c>
      <c r="N5" s="12">
        <v>5.0535714285714288</v>
      </c>
    </row>
    <row r="6" spans="1:14" x14ac:dyDescent="0.3">
      <c r="A6" s="8" t="s">
        <v>17</v>
      </c>
      <c r="B6" s="9">
        <v>81.218184517320694</v>
      </c>
      <c r="G6" s="8" t="s">
        <v>17</v>
      </c>
      <c r="H6" s="6">
        <v>5.0535714285714288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48C-9917-4A04-ACF3-AB84B9C810F3}">
  <dimension ref="A1:H6"/>
  <sheetViews>
    <sheetView tabSelected="1" workbookViewId="0">
      <selection activeCell="L10" sqref="L10"/>
    </sheetView>
  </sheetViews>
  <sheetFormatPr defaultRowHeight="14.4" x14ac:dyDescent="0.3"/>
  <cols>
    <col min="1" max="1" width="13.6640625" bestFit="1" customWidth="1"/>
    <col min="2" max="2" width="15.6640625" bestFit="1" customWidth="1"/>
    <col min="3" max="3" width="12.5546875" customWidth="1"/>
    <col min="7" max="7" width="17.109375" bestFit="1" customWidth="1"/>
    <col min="8" max="8" width="15.6640625" bestFit="1" customWidth="1"/>
    <col min="9" max="9" width="12.44140625" customWidth="1"/>
    <col min="10" max="10" width="9.109375" customWidth="1"/>
  </cols>
  <sheetData>
    <row r="1" spans="1:8" s="13" customFormat="1" x14ac:dyDescent="0.3">
      <c r="A1" s="15" t="s">
        <v>18</v>
      </c>
      <c r="B1" s="13" t="s">
        <v>38</v>
      </c>
      <c r="G1" s="15" t="s">
        <v>23</v>
      </c>
      <c r="H1" s="13" t="s">
        <v>38</v>
      </c>
    </row>
    <row r="2" spans="1:8" x14ac:dyDescent="0.3">
      <c r="A2" s="8" t="s">
        <v>19</v>
      </c>
      <c r="B2" s="9">
        <v>97.087500000000006</v>
      </c>
      <c r="G2" s="8" t="s">
        <v>24</v>
      </c>
      <c r="H2" s="9">
        <v>96.528571428571425</v>
      </c>
    </row>
    <row r="3" spans="1:8" x14ac:dyDescent="0.3">
      <c r="A3" s="8" t="s">
        <v>20</v>
      </c>
      <c r="B3" s="9">
        <v>96.52000000000001</v>
      </c>
      <c r="G3" s="8" t="s">
        <v>25</v>
      </c>
      <c r="H3" s="9">
        <v>96.490000000000009</v>
      </c>
    </row>
    <row r="4" spans="1:8" x14ac:dyDescent="0.3">
      <c r="A4" s="8" t="s">
        <v>21</v>
      </c>
      <c r="B4" s="9">
        <v>96.074999999999989</v>
      </c>
      <c r="G4" s="8" t="s">
        <v>26</v>
      </c>
      <c r="H4" s="9">
        <v>95.85</v>
      </c>
    </row>
    <row r="5" spans="1:8" x14ac:dyDescent="0.3">
      <c r="A5" s="8" t="s">
        <v>22</v>
      </c>
      <c r="B5" s="9">
        <v>95.583333333333329</v>
      </c>
      <c r="G5" s="8" t="s">
        <v>17</v>
      </c>
      <c r="H5" s="9">
        <v>96.417857142857159</v>
      </c>
    </row>
    <row r="6" spans="1:8" x14ac:dyDescent="0.3">
      <c r="A6" s="8" t="s">
        <v>17</v>
      </c>
      <c r="B6" s="9">
        <v>96.41785714285713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A72A-21B7-4ED6-8228-E2677C63C9C4}">
  <dimension ref="A1:L5"/>
  <sheetViews>
    <sheetView workbookViewId="0">
      <selection activeCell="B5" sqref="B5"/>
    </sheetView>
  </sheetViews>
  <sheetFormatPr defaultRowHeight="14.4" x14ac:dyDescent="0.3"/>
  <cols>
    <col min="1" max="1" width="11.5546875" customWidth="1"/>
    <col min="2" max="3" width="12.6640625" customWidth="1"/>
    <col min="4" max="4" width="14.77734375" customWidth="1"/>
    <col min="5" max="5" width="17.33203125" customWidth="1"/>
    <col min="6" max="6" width="17.77734375" customWidth="1"/>
    <col min="7" max="7" width="17" customWidth="1"/>
    <col min="8" max="8" width="12.44140625" customWidth="1"/>
    <col min="9" max="9" width="11.33203125" customWidth="1"/>
    <col min="10" max="10" width="10.77734375" customWidth="1"/>
    <col min="11" max="12" width="10.33203125" customWidth="1"/>
  </cols>
  <sheetData>
    <row r="1" spans="1:12" s="11" customFormat="1" ht="18.600000000000001" customHeight="1" x14ac:dyDescent="0.3">
      <c r="A1" s="11" t="s">
        <v>1</v>
      </c>
      <c r="B1" s="11" t="s">
        <v>2</v>
      </c>
      <c r="C1" s="11" t="s">
        <v>8</v>
      </c>
      <c r="D1" s="11" t="s">
        <v>18</v>
      </c>
      <c r="E1" s="11" t="s">
        <v>23</v>
      </c>
      <c r="F1" s="11" t="s">
        <v>27</v>
      </c>
      <c r="G1" s="11" t="s">
        <v>34</v>
      </c>
      <c r="H1" s="11" t="s">
        <v>12</v>
      </c>
      <c r="K1" s="11" t="s">
        <v>28</v>
      </c>
      <c r="L1" s="11" t="s">
        <v>29</v>
      </c>
    </row>
    <row r="2" spans="1:12" x14ac:dyDescent="0.3">
      <c r="A2">
        <v>5</v>
      </c>
      <c r="B2" s="14">
        <f>_xlfn.XLOOKUP(A2,Table1[Batch_ID],Table1[Date])</f>
        <v>45827</v>
      </c>
      <c r="C2" t="str">
        <f>_xlfn.XLOOKUP(A2,Table1[Batch_ID],Table1[Operator])</f>
        <v>A</v>
      </c>
      <c r="D2" t="str">
        <f>_xlfn.XLOOKUP(A2, Table1[Batch_ID], Table1[Temp Range])</f>
        <v>T2</v>
      </c>
      <c r="E2" s="8" t="str">
        <f>_xlfn.XLOOKUP(A2, Table1[Batch_ID], Table1[Initial FFA Range])</f>
        <v>1.0 - 2.0</v>
      </c>
      <c r="F2" s="12">
        <f>_xlfn.XLOOKUP(A2, Table1[Batch_ID], Table1[Batch_Time (Hrs)])</f>
        <v>4</v>
      </c>
      <c r="G2" s="9">
        <f>_xlfn.XLOOKUP(A2, Table1[Batch_ID], Table1[FFA_Removal (%)])</f>
        <v>80.57553956834532</v>
      </c>
      <c r="H2" s="9">
        <f>_xlfn.XLOOKUP(A2, Table1[Batch_ID], Table1[Yield (%)])</f>
        <v>96.5</v>
      </c>
      <c r="K2" t="s">
        <v>30</v>
      </c>
      <c r="L2" t="s">
        <v>19</v>
      </c>
    </row>
    <row r="3" spans="1:12" x14ac:dyDescent="0.3">
      <c r="K3" t="s">
        <v>31</v>
      </c>
      <c r="L3" t="s">
        <v>20</v>
      </c>
    </row>
    <row r="4" spans="1:12" x14ac:dyDescent="0.3">
      <c r="K4" t="s">
        <v>32</v>
      </c>
      <c r="L4" t="s">
        <v>21</v>
      </c>
    </row>
    <row r="5" spans="1:12" x14ac:dyDescent="0.3">
      <c r="K5" t="s">
        <v>33</v>
      </c>
      <c r="L5" t="s">
        <v>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14E800-E3CA-4B49-9C42-394259D9D529}">
          <x14:formula1>
            <xm:f>Data!$A$6:$A$33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PivotTable</vt:lpstr>
      <vt:lpstr>PivotTable2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Keertika Agrawal</dc:creator>
  <cp:lastModifiedBy>Keertika Agrawal</cp:lastModifiedBy>
  <dcterms:created xsi:type="dcterms:W3CDTF">2025-12-02T07:20:18Z</dcterms:created>
  <dcterms:modified xsi:type="dcterms:W3CDTF">2025-12-04T12:24:49Z</dcterms:modified>
</cp:coreProperties>
</file>