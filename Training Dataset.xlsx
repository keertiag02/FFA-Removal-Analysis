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eert\OneDrive\Data Analysis\Training\"/>
    </mc:Choice>
  </mc:AlternateContent>
  <xr:revisionPtr revIDLastSave="0" documentId="13_ncr:1_{4B9E2652-4E1D-4D07-BFF0-5313F5B44160}" xr6:coauthVersionLast="47" xr6:coauthVersionMax="47" xr10:uidLastSave="{00000000-0000-0000-0000-000000000000}"/>
  <bookViews>
    <workbookView xWindow="-108" yWindow="-108" windowWidth="23256" windowHeight="12456" xr2:uid="{2D2C5C79-6735-4A8F-A016-EBC9BB2B40B2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13" i="1"/>
  <c r="J8" i="1"/>
  <c r="J29" i="1"/>
  <c r="J23" i="1"/>
  <c r="J6" i="1"/>
  <c r="J7" i="1"/>
  <c r="J16" i="1"/>
  <c r="J17" i="1"/>
  <c r="J15" i="1"/>
  <c r="J24" i="1"/>
  <c r="J21" i="1"/>
  <c r="J18" i="1"/>
  <c r="J25" i="1"/>
  <c r="J2" i="1"/>
  <c r="J20" i="1"/>
  <c r="J26" i="1"/>
  <c r="J19" i="1"/>
  <c r="J28" i="1"/>
  <c r="J5" i="1"/>
  <c r="J10" i="1"/>
  <c r="J22" i="1"/>
  <c r="J11" i="1"/>
  <c r="J4" i="1"/>
  <c r="J27" i="1"/>
  <c r="J14" i="1"/>
  <c r="J9" i="1"/>
  <c r="J12" i="1"/>
  <c r="L29" i="1"/>
  <c r="L28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</calcChain>
</file>

<file path=xl/sharedStrings.xml><?xml version="1.0" encoding="utf-8"?>
<sst xmlns="http://schemas.openxmlformats.org/spreadsheetml/2006/main" count="40" uniqueCount="16">
  <si>
    <t>Batch_ID</t>
  </si>
  <si>
    <t>Date</t>
  </si>
  <si>
    <t>Input_Oil (Kg)</t>
  </si>
  <si>
    <t xml:space="preserve">Initial_FFA </t>
  </si>
  <si>
    <t>Temperature (°C)</t>
  </si>
  <si>
    <t>Vacuum (mmHg)</t>
  </si>
  <si>
    <t>Batch_Time (Hrs)</t>
  </si>
  <si>
    <t>Operator</t>
  </si>
  <si>
    <t>Final_FFA</t>
  </si>
  <si>
    <t>FFA_Removal (%)</t>
  </si>
  <si>
    <t>Output_Oil (Kg)</t>
  </si>
  <si>
    <t>Yield (%)</t>
  </si>
  <si>
    <t>C</t>
  </si>
  <si>
    <t>A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</si>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</sst>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/>
    </xf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2" formatCode="0.0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0.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195BCA-0BEE-452F-AFEB-D5A4334D67C7}" name="Table1" displayName="Table1" ref="A1:L29" totalsRowShown="0" headerRowDxfId="13" dataDxfId="12">
  <sortState xmlns:xlrd2="http://schemas.microsoft.com/office/spreadsheetml/2017/richdata2" ref="A2:L29">
    <sortCondition ref="A1:A29"/>
  </sortState>
  <tableColumns count="12">
    <tableColumn id="1" xr3:uid="{1BF37009-5360-49A9-9AED-12851C8B92AA}" name="Batch_ID" dataDxfId="11"/>
    <tableColumn id="2" xr3:uid="{713E1876-0503-4535-A84D-CFF72BFACB0D}" name="Date" dataDxfId="10"/>
    <tableColumn id="3" xr3:uid="{3AC5044C-CC3A-45D8-A133-58093707E29F}" name="Input_Oil (Kg)" dataDxfId="9"/>
    <tableColumn id="4" xr3:uid="{5F111299-34E7-481E-BE9C-1BD76E932D2B}" name="Initial_FFA " dataDxfId="8"/>
    <tableColumn id="5" xr3:uid="{4A02AD0B-5555-45B6-AC66-4571D22060C9}" name="Temperature (°C)" dataDxfId="7"/>
    <tableColumn id="6" xr3:uid="{A8C298E9-DED0-4B7D-878E-181C9BD18472}" name="Vacuum (mmHg)" dataDxfId="6"/>
    <tableColumn id="7" xr3:uid="{11E1F97F-D469-453D-A57E-41D0246E5C40}" name="Batch_Time (Hrs)" dataDxfId="5"/>
    <tableColumn id="8" xr3:uid="{94C3F415-BA02-4641-AA9D-D471164DCDBD}" name="Operator" dataDxfId="4"/>
    <tableColumn id="9" xr3:uid="{806B5D82-F0FB-4605-BEBB-1EF7BE7D8089}" name="Final_FFA" dataDxfId="3"/>
    <tableColumn id="10" xr3:uid="{B694DA28-3CA2-47C3-93F5-5FE4029B0EF8}" name="FFA_Removal (%)" dataDxfId="2">
      <calculatedColumnFormula>((D2-I2)/D2)*100</calculatedColumnFormula>
    </tableColumn>
    <tableColumn id="11" xr3:uid="{2AE1DEC0-02E7-416F-AB9F-4D2BCF07698F}" name="Output_Oil (Kg)" dataDxfId="1"/>
    <tableColumn id="12" xr3:uid="{3B4FF732-3201-41C8-9F92-8A6E7D61924C}" name="Yield (%)" dataDxfId="0">
      <calculatedColumnFormula>(K2/C2)*100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8B76-7B33-480E-82A5-FD08CEB8C566}">
  <dimension ref="A1:L29"/>
  <sheetViews>
    <sheetView tabSelected="1" workbookViewId="0">
      <selection activeCell="M27" sqref="M27"/>
    </sheetView>
  </sheetViews>
  <sheetFormatPr defaultRowHeight="14.4" x14ac:dyDescent="0.3"/>
  <cols>
    <col min="1" max="1" width="9.44140625" customWidth="1"/>
    <col min="2" max="2" width="10.33203125" bestFit="1" customWidth="1"/>
    <col min="3" max="3" width="14" customWidth="1"/>
    <col min="4" max="4" width="11.21875" customWidth="1"/>
    <col min="5" max="5" width="16.77734375" customWidth="1"/>
    <col min="6" max="6" width="16.44140625" customWidth="1"/>
    <col min="7" max="7" width="17.21875" customWidth="1"/>
    <col min="8" max="8" width="9.6640625" customWidth="1"/>
    <col min="9" max="9" width="10.6640625" customWidth="1"/>
    <col min="10" max="10" width="16.6640625" customWidth="1"/>
    <col min="11" max="11" width="14.88671875" customWidth="1"/>
    <col min="12" max="12" width="10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>
        <v>45823</v>
      </c>
      <c r="C2" s="2">
        <v>1000</v>
      </c>
      <c r="D2" s="4">
        <v>1.94</v>
      </c>
      <c r="E2" s="2">
        <v>232</v>
      </c>
      <c r="F2" s="2">
        <v>760</v>
      </c>
      <c r="G2" s="5">
        <v>5.5</v>
      </c>
      <c r="H2" t="s">
        <v>13</v>
      </c>
      <c r="I2" s="4">
        <v>0.45</v>
      </c>
      <c r="J2" s="4">
        <f t="shared" ref="J2:J29" si="0">((D2-I2)/D2)*100</f>
        <v>76.80412371134021</v>
      </c>
      <c r="K2" s="2">
        <v>978</v>
      </c>
      <c r="L2" s="4">
        <f t="shared" ref="L2:L29" si="1">(K2/C2)*100</f>
        <v>97.8</v>
      </c>
    </row>
    <row r="3" spans="1:12" x14ac:dyDescent="0.3">
      <c r="A3" s="2">
        <v>2</v>
      </c>
      <c r="B3" s="3">
        <v>45824</v>
      </c>
      <c r="C3" s="2">
        <v>1000</v>
      </c>
      <c r="D3" s="4">
        <v>3.38</v>
      </c>
      <c r="E3" s="2">
        <v>266</v>
      </c>
      <c r="F3" s="2">
        <v>760</v>
      </c>
      <c r="G3" s="5">
        <v>5</v>
      </c>
      <c r="H3" t="s">
        <v>13</v>
      </c>
      <c r="I3" s="4">
        <v>0.45</v>
      </c>
      <c r="J3" s="4">
        <f t="shared" si="0"/>
        <v>86.68639053254438</v>
      </c>
      <c r="K3" s="2">
        <v>954</v>
      </c>
      <c r="L3" s="4">
        <f t="shared" si="1"/>
        <v>95.399999999999991</v>
      </c>
    </row>
    <row r="4" spans="1:12" x14ac:dyDescent="0.3">
      <c r="A4" s="2">
        <v>3</v>
      </c>
      <c r="B4" s="3">
        <v>45825</v>
      </c>
      <c r="C4" s="2">
        <v>1000</v>
      </c>
      <c r="D4" s="4">
        <v>2.83</v>
      </c>
      <c r="E4" s="2">
        <v>236</v>
      </c>
      <c r="F4" s="2">
        <v>760</v>
      </c>
      <c r="G4" s="5">
        <v>7</v>
      </c>
      <c r="H4" t="s">
        <v>13</v>
      </c>
      <c r="I4" s="4">
        <v>0.5</v>
      </c>
      <c r="J4" s="4">
        <f t="shared" si="0"/>
        <v>82.332155477031804</v>
      </c>
      <c r="K4" s="2">
        <v>973</v>
      </c>
      <c r="L4" s="4">
        <f t="shared" si="1"/>
        <v>97.3</v>
      </c>
    </row>
    <row r="5" spans="1:12" x14ac:dyDescent="0.3">
      <c r="A5" s="2">
        <v>4</v>
      </c>
      <c r="B5" s="3">
        <v>45826</v>
      </c>
      <c r="C5" s="2">
        <v>1000</v>
      </c>
      <c r="D5" s="4">
        <v>2.5</v>
      </c>
      <c r="E5" s="2">
        <v>250</v>
      </c>
      <c r="F5" s="2">
        <v>760</v>
      </c>
      <c r="G5" s="5">
        <v>5</v>
      </c>
      <c r="H5" t="s">
        <v>13</v>
      </c>
      <c r="I5" s="4">
        <v>0.49</v>
      </c>
      <c r="J5" s="4">
        <f t="shared" si="0"/>
        <v>80.399999999999991</v>
      </c>
      <c r="K5" s="2">
        <v>965</v>
      </c>
      <c r="L5" s="4">
        <f t="shared" si="1"/>
        <v>96.5</v>
      </c>
    </row>
    <row r="6" spans="1:12" x14ac:dyDescent="0.3">
      <c r="A6" s="2">
        <v>5</v>
      </c>
      <c r="B6" s="3">
        <v>45827</v>
      </c>
      <c r="C6" s="2">
        <v>1000</v>
      </c>
      <c r="D6" s="4">
        <v>1.39</v>
      </c>
      <c r="E6" s="2">
        <v>250</v>
      </c>
      <c r="F6" s="2">
        <v>760</v>
      </c>
      <c r="G6" s="5">
        <v>4</v>
      </c>
      <c r="H6" t="s">
        <v>13</v>
      </c>
      <c r="I6" s="4">
        <v>0.27</v>
      </c>
      <c r="J6" s="4">
        <f t="shared" si="0"/>
        <v>80.57553956834532</v>
      </c>
      <c r="K6" s="2">
        <v>965</v>
      </c>
      <c r="L6" s="4">
        <f t="shared" si="1"/>
        <v>96.5</v>
      </c>
    </row>
    <row r="7" spans="1:12" x14ac:dyDescent="0.3">
      <c r="A7" s="2">
        <v>6</v>
      </c>
      <c r="B7" s="3">
        <v>45828</v>
      </c>
      <c r="C7" s="2">
        <v>1000</v>
      </c>
      <c r="D7" s="4">
        <v>1.39</v>
      </c>
      <c r="E7" s="2">
        <v>268</v>
      </c>
      <c r="F7" s="2">
        <v>760</v>
      </c>
      <c r="G7" s="5">
        <v>3</v>
      </c>
      <c r="H7" t="s">
        <v>13</v>
      </c>
      <c r="I7" s="4">
        <v>0.19</v>
      </c>
      <c r="J7" s="4">
        <f t="shared" si="0"/>
        <v>86.330935251798564</v>
      </c>
      <c r="K7" s="2">
        <v>955</v>
      </c>
      <c r="L7" s="4">
        <f t="shared" si="1"/>
        <v>95.5</v>
      </c>
    </row>
    <row r="8" spans="1:12" x14ac:dyDescent="0.3">
      <c r="A8" s="2">
        <v>7</v>
      </c>
      <c r="B8" s="3">
        <v>45829</v>
      </c>
      <c r="C8" s="2">
        <v>1000</v>
      </c>
      <c r="D8" s="4">
        <v>1.1499999999999999</v>
      </c>
      <c r="E8" s="2">
        <v>266</v>
      </c>
      <c r="F8" s="2">
        <v>760</v>
      </c>
      <c r="G8" s="5">
        <v>3</v>
      </c>
      <c r="H8" t="s">
        <v>13</v>
      </c>
      <c r="I8" s="4">
        <v>0.19</v>
      </c>
      <c r="J8" s="4">
        <f t="shared" si="0"/>
        <v>83.478260869565219</v>
      </c>
      <c r="K8" s="2">
        <v>956</v>
      </c>
      <c r="L8" s="4">
        <f t="shared" si="1"/>
        <v>95.6</v>
      </c>
    </row>
    <row r="9" spans="1:12" x14ac:dyDescent="0.3">
      <c r="A9" s="2">
        <v>8</v>
      </c>
      <c r="B9" s="3">
        <v>45830</v>
      </c>
      <c r="C9" s="2">
        <v>1000</v>
      </c>
      <c r="D9" s="4">
        <v>3.17</v>
      </c>
      <c r="E9" s="2">
        <v>233</v>
      </c>
      <c r="F9" s="2">
        <v>760</v>
      </c>
      <c r="G9" s="5">
        <v>7</v>
      </c>
      <c r="H9" t="s">
        <v>14</v>
      </c>
      <c r="I9" s="4">
        <v>0.6</v>
      </c>
      <c r="J9" s="4">
        <f t="shared" si="0"/>
        <v>81.072555205047308</v>
      </c>
      <c r="K9" s="2">
        <v>959</v>
      </c>
      <c r="L9" s="4">
        <f t="shared" si="1"/>
        <v>95.899999999999991</v>
      </c>
    </row>
    <row r="10" spans="1:12" x14ac:dyDescent="0.3">
      <c r="A10" s="2">
        <v>9</v>
      </c>
      <c r="B10" s="3">
        <v>45831</v>
      </c>
      <c r="C10" s="2">
        <v>1000</v>
      </c>
      <c r="D10" s="4">
        <v>2.5</v>
      </c>
      <c r="E10" s="2">
        <v>254</v>
      </c>
      <c r="F10" s="2">
        <v>760</v>
      </c>
      <c r="G10" s="5">
        <v>5</v>
      </c>
      <c r="H10" t="s">
        <v>14</v>
      </c>
      <c r="I10" s="4">
        <v>0.49</v>
      </c>
      <c r="J10" s="4">
        <f t="shared" si="0"/>
        <v>80.399999999999991</v>
      </c>
      <c r="K10" s="2">
        <v>961</v>
      </c>
      <c r="L10" s="4">
        <f t="shared" si="1"/>
        <v>96.1</v>
      </c>
    </row>
    <row r="11" spans="1:12" x14ac:dyDescent="0.3">
      <c r="A11" s="2">
        <v>10</v>
      </c>
      <c r="B11" s="3">
        <v>45832</v>
      </c>
      <c r="C11" s="2">
        <v>1000</v>
      </c>
      <c r="D11" s="4">
        <v>2.77</v>
      </c>
      <c r="E11" s="2">
        <v>243</v>
      </c>
      <c r="F11" s="2">
        <v>760</v>
      </c>
      <c r="G11" s="5">
        <v>7</v>
      </c>
      <c r="H11" t="s">
        <v>14</v>
      </c>
      <c r="I11" s="4">
        <v>0.48</v>
      </c>
      <c r="J11" s="4">
        <f t="shared" si="0"/>
        <v>82.671480144404327</v>
      </c>
      <c r="K11" s="2">
        <v>968</v>
      </c>
      <c r="L11" s="4">
        <f t="shared" si="1"/>
        <v>96.8</v>
      </c>
    </row>
    <row r="12" spans="1:12" x14ac:dyDescent="0.3">
      <c r="A12" s="2">
        <v>11</v>
      </c>
      <c r="B12" s="3">
        <v>45833</v>
      </c>
      <c r="C12" s="2">
        <v>1000</v>
      </c>
      <c r="D12" s="4">
        <v>1.05</v>
      </c>
      <c r="E12" s="2">
        <v>262</v>
      </c>
      <c r="F12" s="2">
        <v>760</v>
      </c>
      <c r="G12" s="5">
        <v>3</v>
      </c>
      <c r="H12" t="s">
        <v>14</v>
      </c>
      <c r="I12" s="4">
        <v>0.2</v>
      </c>
      <c r="J12" s="4">
        <f t="shared" si="0"/>
        <v>80.952380952380949</v>
      </c>
      <c r="K12" s="2">
        <v>960</v>
      </c>
      <c r="L12" s="4">
        <f t="shared" si="1"/>
        <v>96</v>
      </c>
    </row>
    <row r="13" spans="1:12" x14ac:dyDescent="0.3">
      <c r="A13" s="2">
        <v>12</v>
      </c>
      <c r="B13" s="3">
        <v>45834</v>
      </c>
      <c r="C13" s="2">
        <v>1000</v>
      </c>
      <c r="D13" s="4">
        <v>3.42</v>
      </c>
      <c r="E13" s="2">
        <v>235</v>
      </c>
      <c r="F13" s="2">
        <v>760</v>
      </c>
      <c r="G13" s="5">
        <v>7</v>
      </c>
      <c r="H13" t="s">
        <v>14</v>
      </c>
      <c r="I13" s="4">
        <v>0.49</v>
      </c>
      <c r="J13" s="4">
        <f t="shared" si="0"/>
        <v>85.672514619883032</v>
      </c>
      <c r="K13" s="2">
        <v>958</v>
      </c>
      <c r="L13" s="4">
        <f t="shared" si="1"/>
        <v>95.8</v>
      </c>
    </row>
    <row r="14" spans="1:12" x14ac:dyDescent="0.3">
      <c r="A14" s="2">
        <v>13</v>
      </c>
      <c r="B14" s="3">
        <v>45835</v>
      </c>
      <c r="C14" s="2">
        <v>1000</v>
      </c>
      <c r="D14" s="4">
        <v>3.08</v>
      </c>
      <c r="E14" s="2">
        <v>248</v>
      </c>
      <c r="F14" s="2">
        <v>760</v>
      </c>
      <c r="G14" s="5">
        <v>5.5</v>
      </c>
      <c r="H14" t="s">
        <v>14</v>
      </c>
      <c r="I14" s="4">
        <v>0.62</v>
      </c>
      <c r="J14" s="4">
        <f t="shared" si="0"/>
        <v>79.870129870129873</v>
      </c>
      <c r="K14" s="2">
        <v>963</v>
      </c>
      <c r="L14" s="4">
        <f t="shared" si="1"/>
        <v>96.3</v>
      </c>
    </row>
    <row r="15" spans="1:12" x14ac:dyDescent="0.3">
      <c r="A15" s="2">
        <v>14</v>
      </c>
      <c r="B15" s="3">
        <v>45836</v>
      </c>
      <c r="C15" s="2">
        <v>1000</v>
      </c>
      <c r="D15" s="4">
        <v>1.53</v>
      </c>
      <c r="E15" s="2">
        <v>249</v>
      </c>
      <c r="F15" s="2">
        <v>760</v>
      </c>
      <c r="G15" s="5">
        <v>4.5</v>
      </c>
      <c r="H15" t="s">
        <v>14</v>
      </c>
      <c r="I15" s="4">
        <v>0.28999999999999998</v>
      </c>
      <c r="J15" s="4">
        <f t="shared" si="0"/>
        <v>81.045751633986924</v>
      </c>
      <c r="K15" s="2">
        <v>968</v>
      </c>
      <c r="L15" s="4">
        <f t="shared" si="1"/>
        <v>96.8</v>
      </c>
    </row>
    <row r="16" spans="1:12" x14ac:dyDescent="0.3">
      <c r="A16" s="2">
        <v>15</v>
      </c>
      <c r="B16" s="3">
        <v>45837</v>
      </c>
      <c r="C16" s="2">
        <v>1000</v>
      </c>
      <c r="D16" s="4">
        <v>1.45</v>
      </c>
      <c r="E16" s="2">
        <v>257</v>
      </c>
      <c r="F16" s="2">
        <v>760</v>
      </c>
      <c r="G16" s="5">
        <v>4</v>
      </c>
      <c r="H16" t="s">
        <v>12</v>
      </c>
      <c r="I16" s="4">
        <v>0.25</v>
      </c>
      <c r="J16" s="4">
        <f t="shared" si="0"/>
        <v>82.758620689655174</v>
      </c>
      <c r="K16" s="2">
        <v>961</v>
      </c>
      <c r="L16" s="4">
        <f t="shared" si="1"/>
        <v>96.1</v>
      </c>
    </row>
    <row r="17" spans="1:12" x14ac:dyDescent="0.3">
      <c r="A17" s="2">
        <v>16</v>
      </c>
      <c r="B17" s="3">
        <v>45838</v>
      </c>
      <c r="C17" s="2">
        <v>1000</v>
      </c>
      <c r="D17" s="4">
        <v>1.46</v>
      </c>
      <c r="E17" s="2">
        <v>236</v>
      </c>
      <c r="F17" s="2">
        <v>760</v>
      </c>
      <c r="G17" s="5">
        <v>5</v>
      </c>
      <c r="H17" t="s">
        <v>12</v>
      </c>
      <c r="I17" s="4">
        <v>0.32</v>
      </c>
      <c r="J17" s="4">
        <f t="shared" si="0"/>
        <v>78.082191780821901</v>
      </c>
      <c r="K17" s="2">
        <v>975</v>
      </c>
      <c r="L17" s="4">
        <f t="shared" si="1"/>
        <v>97.5</v>
      </c>
    </row>
    <row r="18" spans="1:12" x14ac:dyDescent="0.3">
      <c r="A18" s="2">
        <v>17</v>
      </c>
      <c r="B18" s="3">
        <v>45839</v>
      </c>
      <c r="C18" s="2">
        <v>1000</v>
      </c>
      <c r="D18" s="4">
        <v>1.76</v>
      </c>
      <c r="E18" s="2">
        <v>237</v>
      </c>
      <c r="F18" s="2">
        <v>760</v>
      </c>
      <c r="G18" s="5">
        <v>5</v>
      </c>
      <c r="H18" t="s">
        <v>12</v>
      </c>
      <c r="I18" s="4">
        <v>0.26</v>
      </c>
      <c r="J18" s="4">
        <f t="shared" si="0"/>
        <v>85.227272727272734</v>
      </c>
      <c r="K18" s="2">
        <v>974</v>
      </c>
      <c r="L18" s="4">
        <f t="shared" si="1"/>
        <v>97.399999999999991</v>
      </c>
    </row>
    <row r="19" spans="1:12" x14ac:dyDescent="0.3">
      <c r="A19" s="2">
        <v>18</v>
      </c>
      <c r="B19" s="3">
        <v>45840</v>
      </c>
      <c r="C19" s="2">
        <v>1000</v>
      </c>
      <c r="D19" s="4">
        <v>2.31</v>
      </c>
      <c r="E19" s="2">
        <v>264</v>
      </c>
      <c r="F19" s="2">
        <v>760</v>
      </c>
      <c r="G19" s="5">
        <v>5</v>
      </c>
      <c r="H19" t="s">
        <v>12</v>
      </c>
      <c r="I19" s="4">
        <v>0.39</v>
      </c>
      <c r="J19" s="4">
        <f t="shared" si="0"/>
        <v>83.116883116883116</v>
      </c>
      <c r="K19" s="2">
        <v>955</v>
      </c>
      <c r="L19" s="4">
        <f t="shared" si="1"/>
        <v>95.5</v>
      </c>
    </row>
    <row r="20" spans="1:12" x14ac:dyDescent="0.3">
      <c r="A20" s="2">
        <v>19</v>
      </c>
      <c r="B20" s="3">
        <v>45841</v>
      </c>
      <c r="C20" s="2">
        <v>1000</v>
      </c>
      <c r="D20" s="4">
        <v>2.08</v>
      </c>
      <c r="E20" s="2">
        <v>243</v>
      </c>
      <c r="F20" s="2">
        <v>760</v>
      </c>
      <c r="G20" s="5">
        <v>6</v>
      </c>
      <c r="H20" t="s">
        <v>12</v>
      </c>
      <c r="I20" s="4">
        <v>0.54</v>
      </c>
      <c r="J20" s="4">
        <f t="shared" si="0"/>
        <v>74.038461538461547</v>
      </c>
      <c r="K20" s="2">
        <v>965</v>
      </c>
      <c r="L20" s="4">
        <f t="shared" si="1"/>
        <v>96.5</v>
      </c>
    </row>
    <row r="21" spans="1:12" x14ac:dyDescent="0.3">
      <c r="A21" s="2">
        <v>20</v>
      </c>
      <c r="B21" s="3">
        <v>45842</v>
      </c>
      <c r="C21" s="2">
        <v>1000</v>
      </c>
      <c r="D21" s="4">
        <v>1.73</v>
      </c>
      <c r="E21" s="2">
        <v>246</v>
      </c>
      <c r="F21" s="2">
        <v>760</v>
      </c>
      <c r="G21" s="5">
        <v>4.5</v>
      </c>
      <c r="H21" t="s">
        <v>12</v>
      </c>
      <c r="I21" s="4">
        <v>0.32</v>
      </c>
      <c r="J21" s="4">
        <f t="shared" si="0"/>
        <v>81.502890173410407</v>
      </c>
      <c r="K21" s="2">
        <v>966</v>
      </c>
      <c r="L21" s="4">
        <f t="shared" si="1"/>
        <v>96.6</v>
      </c>
    </row>
    <row r="22" spans="1:12" x14ac:dyDescent="0.3">
      <c r="A22" s="2">
        <v>21</v>
      </c>
      <c r="B22" s="3">
        <v>45843</v>
      </c>
      <c r="C22" s="2">
        <v>1000</v>
      </c>
      <c r="D22" s="4">
        <v>2.5299999999999998</v>
      </c>
      <c r="E22" s="2">
        <v>260</v>
      </c>
      <c r="F22" s="2">
        <v>760</v>
      </c>
      <c r="G22" s="5">
        <v>5</v>
      </c>
      <c r="H22" t="s">
        <v>12</v>
      </c>
      <c r="I22" s="4">
        <v>0.45</v>
      </c>
      <c r="J22" s="4">
        <f t="shared" si="0"/>
        <v>82.21343873517786</v>
      </c>
      <c r="K22" s="2">
        <v>960</v>
      </c>
      <c r="L22" s="4">
        <f t="shared" si="1"/>
        <v>96</v>
      </c>
    </row>
    <row r="23" spans="1:12" x14ac:dyDescent="0.3">
      <c r="A23" s="2">
        <v>22</v>
      </c>
      <c r="B23" s="3">
        <v>45844</v>
      </c>
      <c r="C23" s="2">
        <v>1000</v>
      </c>
      <c r="D23" s="4">
        <v>1.35</v>
      </c>
      <c r="E23" s="2">
        <v>269</v>
      </c>
      <c r="F23" s="2">
        <v>760</v>
      </c>
      <c r="G23" s="5">
        <v>3.5</v>
      </c>
      <c r="H23" t="s">
        <v>15</v>
      </c>
      <c r="I23" s="4">
        <v>0.2</v>
      </c>
      <c r="J23" s="4">
        <f t="shared" si="0"/>
        <v>85.18518518518519</v>
      </c>
      <c r="K23" s="2">
        <v>955</v>
      </c>
      <c r="L23" s="4">
        <f t="shared" si="1"/>
        <v>95.5</v>
      </c>
    </row>
    <row r="24" spans="1:12" x14ac:dyDescent="0.3">
      <c r="A24" s="2">
        <v>23</v>
      </c>
      <c r="B24" s="3">
        <v>45845</v>
      </c>
      <c r="C24" s="2">
        <v>1000</v>
      </c>
      <c r="D24" s="4">
        <v>1.73</v>
      </c>
      <c r="E24" s="2">
        <v>233</v>
      </c>
      <c r="F24" s="2">
        <v>760</v>
      </c>
      <c r="G24" s="5">
        <v>5</v>
      </c>
      <c r="H24" t="s">
        <v>15</v>
      </c>
      <c r="I24" s="4">
        <v>0.39</v>
      </c>
      <c r="J24" s="4">
        <f t="shared" si="0"/>
        <v>77.456647398843927</v>
      </c>
      <c r="K24" s="2">
        <v>978</v>
      </c>
      <c r="L24" s="4">
        <f t="shared" si="1"/>
        <v>97.8</v>
      </c>
    </row>
    <row r="25" spans="1:12" x14ac:dyDescent="0.3">
      <c r="A25" s="2">
        <v>24</v>
      </c>
      <c r="B25" s="3">
        <v>45846</v>
      </c>
      <c r="C25" s="2">
        <v>1000</v>
      </c>
      <c r="D25" s="4">
        <v>1.92</v>
      </c>
      <c r="E25" s="2">
        <v>248</v>
      </c>
      <c r="F25" s="2">
        <v>760</v>
      </c>
      <c r="G25" s="5">
        <v>4.5</v>
      </c>
      <c r="H25" t="s">
        <v>15</v>
      </c>
      <c r="I25" s="4">
        <v>0.42</v>
      </c>
      <c r="J25" s="4">
        <f t="shared" si="0"/>
        <v>78.125</v>
      </c>
      <c r="K25" s="2">
        <v>962</v>
      </c>
      <c r="L25" s="4">
        <f t="shared" si="1"/>
        <v>96.2</v>
      </c>
    </row>
    <row r="26" spans="1:12" x14ac:dyDescent="0.3">
      <c r="A26" s="2">
        <v>25</v>
      </c>
      <c r="B26" s="3">
        <v>45847</v>
      </c>
      <c r="C26" s="2">
        <v>1000</v>
      </c>
      <c r="D26" s="4">
        <v>2.14</v>
      </c>
      <c r="E26" s="2">
        <v>235</v>
      </c>
      <c r="F26" s="2">
        <v>760</v>
      </c>
      <c r="G26" s="5">
        <v>6.5</v>
      </c>
      <c r="H26" t="s">
        <v>15</v>
      </c>
      <c r="I26" s="4">
        <v>0.56999999999999995</v>
      </c>
      <c r="J26" s="4">
        <f t="shared" si="0"/>
        <v>73.36448598130842</v>
      </c>
      <c r="K26" s="2">
        <v>972</v>
      </c>
      <c r="L26" s="4">
        <f t="shared" si="1"/>
        <v>97.2</v>
      </c>
    </row>
    <row r="27" spans="1:12" x14ac:dyDescent="0.3">
      <c r="A27" s="2">
        <v>26</v>
      </c>
      <c r="B27" s="3">
        <v>45848</v>
      </c>
      <c r="C27" s="2">
        <v>1000</v>
      </c>
      <c r="D27" s="4">
        <v>2.96</v>
      </c>
      <c r="E27" s="2">
        <v>242</v>
      </c>
      <c r="F27" s="2">
        <v>760</v>
      </c>
      <c r="G27" s="5">
        <v>7</v>
      </c>
      <c r="H27" t="s">
        <v>15</v>
      </c>
      <c r="I27" s="4">
        <v>0.47</v>
      </c>
      <c r="J27" s="4">
        <f t="shared" si="0"/>
        <v>84.121621621621628</v>
      </c>
      <c r="K27" s="2">
        <v>968</v>
      </c>
      <c r="L27" s="4">
        <f t="shared" si="1"/>
        <v>96.8</v>
      </c>
    </row>
    <row r="28" spans="1:12" x14ac:dyDescent="0.3">
      <c r="A28" s="2">
        <v>27</v>
      </c>
      <c r="B28" s="3">
        <v>45849</v>
      </c>
      <c r="C28" s="2">
        <v>1000</v>
      </c>
      <c r="D28" s="4">
        <v>2.4500000000000002</v>
      </c>
      <c r="E28" s="2">
        <v>250</v>
      </c>
      <c r="F28" s="2">
        <v>760</v>
      </c>
      <c r="G28" s="5">
        <v>5</v>
      </c>
      <c r="H28" t="s">
        <v>15</v>
      </c>
      <c r="I28" s="4">
        <v>0.45</v>
      </c>
      <c r="J28" s="4">
        <f t="shared" si="0"/>
        <v>81.632653061224474</v>
      </c>
      <c r="K28" s="2">
        <v>962</v>
      </c>
      <c r="L28" s="4">
        <f t="shared" si="1"/>
        <v>96.2</v>
      </c>
    </row>
    <row r="29" spans="1:12" x14ac:dyDescent="0.3">
      <c r="A29" s="2">
        <v>28</v>
      </c>
      <c r="B29" s="3">
        <v>45850</v>
      </c>
      <c r="C29" s="2">
        <v>1000</v>
      </c>
      <c r="D29" s="4">
        <v>1.19</v>
      </c>
      <c r="E29" s="2">
        <v>255</v>
      </c>
      <c r="F29" s="2">
        <v>760</v>
      </c>
      <c r="G29" s="5">
        <v>4</v>
      </c>
      <c r="H29" t="s">
        <v>15</v>
      </c>
      <c r="I29" s="4">
        <v>0.25</v>
      </c>
      <c r="J29" s="4">
        <f t="shared" si="0"/>
        <v>78.991596638655466</v>
      </c>
      <c r="K29" s="2">
        <v>961</v>
      </c>
      <c r="L29" s="4">
        <f t="shared" si="1"/>
        <v>96.1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Keertika Agrawal</dc:creator>
  <cp:lastModifiedBy>Keertika Agrawal</cp:lastModifiedBy>
  <dcterms:created xsi:type="dcterms:W3CDTF">2025-12-02T07:20:18Z</dcterms:created>
  <dcterms:modified xsi:type="dcterms:W3CDTF">2025-12-04T18:23:46Z</dcterms:modified>
</cp:coreProperties>
</file>